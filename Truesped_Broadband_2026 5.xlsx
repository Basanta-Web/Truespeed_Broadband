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ebextensions/webextension1.xml" ContentType="application/vnd.ms-office.webextension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E:\WARKING\Truesped_Broadband_Data_Sheet\"/>
    </mc:Choice>
  </mc:AlternateContent>
  <xr:revisionPtr revIDLastSave="0" documentId="8_{A5B4CC53-B368-4C71-8756-2BAB836C926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Customer Infirmation" sheetId="1" r:id="rId1"/>
    <sheet name="OLT or Switch MGMT Details" sheetId="4" state="hidden" r:id="rId2"/>
    <sheet name="Expenses" sheetId="2" state="hidden" r:id="rId3"/>
    <sheet name="MEGHBELA" sheetId="6" r:id="rId4"/>
  </sheets>
  <definedNames>
    <definedName name="PlanDropdown">MEGHBELA!$A$2:$A$5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1" l="1"/>
  <c r="H2" i="1"/>
  <c r="J2" i="1" s="1"/>
  <c r="K2" i="1" s="1"/>
  <c r="L2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J19" i="1" s="1"/>
  <c r="K19" i="1" s="1"/>
  <c r="L19" i="1" s="1"/>
  <c r="H20" i="1"/>
  <c r="J20" i="1" s="1"/>
  <c r="K20" i="1" s="1"/>
  <c r="L20" i="1" s="1"/>
  <c r="H21" i="1"/>
  <c r="J21" i="1" s="1"/>
  <c r="K21" i="1" s="1"/>
  <c r="L21" i="1" s="1"/>
  <c r="H22" i="1"/>
  <c r="J22" i="1" s="1"/>
  <c r="K22" i="1" s="1"/>
  <c r="L22" i="1" s="1"/>
  <c r="H23" i="1"/>
  <c r="J23" i="1" s="1"/>
  <c r="K23" i="1" s="1"/>
  <c r="L23" i="1" s="1"/>
  <c r="H24" i="1"/>
  <c r="J24" i="1" s="1"/>
  <c r="K24" i="1" s="1"/>
  <c r="L24" i="1" s="1"/>
  <c r="H25" i="1"/>
  <c r="J25" i="1" s="1"/>
  <c r="K25" i="1" s="1"/>
  <c r="L25" i="1" s="1"/>
  <c r="H26" i="1"/>
  <c r="J26" i="1" s="1"/>
  <c r="K26" i="1" s="1"/>
  <c r="L26" i="1" s="1"/>
  <c r="H27" i="1"/>
  <c r="J27" i="1" s="1"/>
  <c r="K27" i="1" s="1"/>
  <c r="L27" i="1" s="1"/>
  <c r="H28" i="1"/>
  <c r="J28" i="1" s="1"/>
  <c r="K28" i="1" s="1"/>
  <c r="L28" i="1" s="1"/>
  <c r="H29" i="1"/>
  <c r="J29" i="1" s="1"/>
  <c r="K29" i="1" s="1"/>
  <c r="L29" i="1" s="1"/>
  <c r="H30" i="1"/>
  <c r="J30" i="1" s="1"/>
  <c r="K30" i="1" s="1"/>
  <c r="L30" i="1" s="1"/>
  <c r="H31" i="1"/>
  <c r="K31" i="1" s="1"/>
  <c r="L31" i="1" s="1"/>
  <c r="H32" i="1"/>
  <c r="J32" i="1" s="1"/>
  <c r="K32" i="1" s="1"/>
  <c r="L32" i="1" s="1"/>
  <c r="H33" i="1"/>
  <c r="J33" i="1" s="1"/>
  <c r="K33" i="1" s="1"/>
  <c r="L33" i="1" s="1"/>
  <c r="H34" i="1"/>
  <c r="J34" i="1" s="1"/>
  <c r="K34" i="1" s="1"/>
  <c r="L34" i="1" s="1"/>
  <c r="H35" i="1"/>
  <c r="J35" i="1" s="1"/>
  <c r="K35" i="1" s="1"/>
  <c r="L35" i="1" s="1"/>
  <c r="H36" i="1"/>
  <c r="J36" i="1" s="1"/>
  <c r="K36" i="1" s="1"/>
  <c r="L36" i="1" s="1"/>
  <c r="H37" i="1"/>
  <c r="J37" i="1" s="1"/>
  <c r="K37" i="1" s="1"/>
  <c r="L37" i="1" s="1"/>
  <c r="H38" i="1"/>
  <c r="J38" i="1" s="1"/>
  <c r="K38" i="1" s="1"/>
  <c r="L38" i="1" s="1"/>
  <c r="H39" i="1"/>
  <c r="J39" i="1" s="1"/>
  <c r="K39" i="1" s="1"/>
  <c r="L39" i="1" s="1"/>
  <c r="H40" i="1"/>
  <c r="J40" i="1" s="1"/>
  <c r="K40" i="1" s="1"/>
  <c r="L40" i="1" s="1"/>
  <c r="H41" i="1"/>
  <c r="J41" i="1" s="1"/>
  <c r="K41" i="1" s="1"/>
  <c r="L41" i="1" s="1"/>
  <c r="H42" i="1"/>
  <c r="J42" i="1" s="1"/>
  <c r="K42" i="1" s="1"/>
  <c r="L42" i="1" s="1"/>
  <c r="H43" i="1"/>
  <c r="J43" i="1" s="1"/>
  <c r="K43" i="1" s="1"/>
  <c r="L43" i="1" s="1"/>
  <c r="H44" i="1"/>
  <c r="J44" i="1" s="1"/>
  <c r="K44" i="1" s="1"/>
  <c r="L44" i="1" s="1"/>
  <c r="H45" i="1"/>
  <c r="J45" i="1" s="1"/>
  <c r="K45" i="1" s="1"/>
  <c r="L45" i="1" s="1"/>
  <c r="H46" i="1"/>
  <c r="J46" i="1" s="1"/>
  <c r="K46" i="1" s="1"/>
  <c r="L46" i="1" s="1"/>
  <c r="H47" i="1"/>
  <c r="J47" i="1" s="1"/>
  <c r="K47" i="1" s="1"/>
  <c r="L47" i="1" s="1"/>
  <c r="H48" i="1"/>
  <c r="J48" i="1" s="1"/>
  <c r="K48" i="1" s="1"/>
  <c r="L48" i="1" s="1"/>
  <c r="H49" i="1"/>
  <c r="J49" i="1" s="1"/>
  <c r="K49" i="1" s="1"/>
  <c r="L49" i="1" s="1"/>
  <c r="H50" i="1"/>
  <c r="J50" i="1" s="1"/>
  <c r="K50" i="1" s="1"/>
  <c r="L50" i="1" s="1"/>
  <c r="H51" i="1"/>
  <c r="J51" i="1" s="1"/>
  <c r="K51" i="1" s="1"/>
  <c r="L51" i="1" s="1"/>
  <c r="H52" i="1"/>
  <c r="J52" i="1" s="1"/>
  <c r="K52" i="1" s="1"/>
  <c r="L52" i="1" s="1"/>
  <c r="H53" i="1"/>
  <c r="J53" i="1" s="1"/>
  <c r="K53" i="1" s="1"/>
  <c r="L53" i="1" s="1"/>
  <c r="H54" i="1"/>
  <c r="J54" i="1" s="1"/>
  <c r="K54" i="1" s="1"/>
  <c r="L54" i="1" s="1"/>
  <c r="H55" i="1"/>
  <c r="J55" i="1" s="1"/>
  <c r="K55" i="1" s="1"/>
  <c r="L55" i="1" s="1"/>
  <c r="H56" i="1"/>
  <c r="J56" i="1" s="1"/>
  <c r="K56" i="1" s="1"/>
  <c r="L56" i="1" s="1"/>
  <c r="H57" i="1"/>
  <c r="J57" i="1" s="1"/>
  <c r="K57" i="1" s="1"/>
  <c r="L57" i="1" s="1"/>
  <c r="H58" i="1"/>
  <c r="J58" i="1" s="1"/>
  <c r="K58" i="1" s="1"/>
  <c r="L58" i="1" s="1"/>
  <c r="H59" i="1"/>
  <c r="J59" i="1" s="1"/>
  <c r="K59" i="1" s="1"/>
  <c r="L59" i="1" s="1"/>
  <c r="H60" i="1"/>
  <c r="J60" i="1" s="1"/>
  <c r="K60" i="1" s="1"/>
  <c r="L60" i="1" s="1"/>
  <c r="H61" i="1"/>
  <c r="J61" i="1" s="1"/>
  <c r="K61" i="1" s="1"/>
  <c r="L61" i="1" s="1"/>
  <c r="H62" i="1"/>
  <c r="J62" i="1" s="1"/>
  <c r="K62" i="1" s="1"/>
  <c r="L62" i="1" s="1"/>
  <c r="H63" i="1"/>
  <c r="J63" i="1" s="1"/>
  <c r="K63" i="1" s="1"/>
  <c r="L63" i="1" s="1"/>
  <c r="H64" i="1"/>
  <c r="J64" i="1" s="1"/>
  <c r="K64" i="1" s="1"/>
  <c r="L64" i="1" s="1"/>
  <c r="H65" i="1"/>
  <c r="J65" i="1" s="1"/>
  <c r="K65" i="1" s="1"/>
  <c r="L65" i="1" s="1"/>
  <c r="H66" i="1"/>
  <c r="J66" i="1" s="1"/>
  <c r="K66" i="1" s="1"/>
  <c r="L66" i="1" s="1"/>
  <c r="H67" i="1"/>
  <c r="J67" i="1" s="1"/>
  <c r="K67" i="1" s="1"/>
  <c r="L67" i="1" s="1"/>
  <c r="H68" i="1"/>
  <c r="J68" i="1" s="1"/>
  <c r="K68" i="1" s="1"/>
  <c r="L68" i="1" s="1"/>
  <c r="H69" i="1"/>
  <c r="J69" i="1" s="1"/>
  <c r="K69" i="1" s="1"/>
  <c r="L69" i="1" s="1"/>
  <c r="H70" i="1"/>
  <c r="J70" i="1" s="1"/>
  <c r="K70" i="1" s="1"/>
  <c r="L70" i="1" s="1"/>
  <c r="H71" i="1"/>
  <c r="J71" i="1" s="1"/>
  <c r="K71" i="1" s="1"/>
  <c r="L71" i="1" s="1"/>
  <c r="H72" i="1"/>
  <c r="J72" i="1" s="1"/>
  <c r="K72" i="1" s="1"/>
  <c r="L72" i="1" s="1"/>
  <c r="H73" i="1"/>
  <c r="J73" i="1" s="1"/>
  <c r="K73" i="1" s="1"/>
  <c r="L73" i="1" s="1"/>
  <c r="H74" i="1"/>
  <c r="J74" i="1" s="1"/>
  <c r="K74" i="1" s="1"/>
  <c r="L74" i="1" s="1"/>
  <c r="H75" i="1"/>
  <c r="J75" i="1" s="1"/>
  <c r="K75" i="1" s="1"/>
  <c r="L75" i="1" s="1"/>
  <c r="H76" i="1"/>
  <c r="J76" i="1" s="1"/>
  <c r="K76" i="1" s="1"/>
  <c r="L76" i="1" s="1"/>
  <c r="H77" i="1"/>
  <c r="J77" i="1" s="1"/>
  <c r="K77" i="1" s="1"/>
  <c r="L77" i="1" s="1"/>
  <c r="H78" i="1"/>
  <c r="J78" i="1" s="1"/>
  <c r="K78" i="1" s="1"/>
  <c r="L78" i="1" s="1"/>
  <c r="H79" i="1"/>
  <c r="J79" i="1" s="1"/>
  <c r="K79" i="1" s="1"/>
  <c r="L79" i="1" s="1"/>
  <c r="H80" i="1"/>
  <c r="J80" i="1" s="1"/>
  <c r="K80" i="1" s="1"/>
  <c r="L80" i="1" s="1"/>
  <c r="H81" i="1"/>
  <c r="J81" i="1" s="1"/>
  <c r="K81" i="1" s="1"/>
  <c r="L81" i="1" s="1"/>
  <c r="H82" i="1"/>
  <c r="J82" i="1" s="1"/>
  <c r="K82" i="1" s="1"/>
  <c r="L82" i="1" s="1"/>
  <c r="H83" i="1"/>
  <c r="J83" i="1" s="1"/>
  <c r="K83" i="1" s="1"/>
  <c r="L83" i="1" s="1"/>
  <c r="H84" i="1"/>
  <c r="J84" i="1" s="1"/>
  <c r="K84" i="1" s="1"/>
  <c r="L84" i="1" s="1"/>
  <c r="H85" i="1"/>
  <c r="J85" i="1" s="1"/>
  <c r="K85" i="1" s="1"/>
  <c r="L85" i="1" s="1"/>
  <c r="H86" i="1"/>
  <c r="J86" i="1" s="1"/>
  <c r="K86" i="1" s="1"/>
  <c r="L86" i="1" s="1"/>
  <c r="H87" i="1"/>
  <c r="J87" i="1" s="1"/>
  <c r="K87" i="1" s="1"/>
  <c r="L87" i="1" s="1"/>
  <c r="H88" i="1"/>
  <c r="J88" i="1" s="1"/>
  <c r="K88" i="1" s="1"/>
  <c r="L88" i="1" s="1"/>
  <c r="H89" i="1"/>
  <c r="J89" i="1" s="1"/>
  <c r="K89" i="1" s="1"/>
  <c r="L89" i="1" s="1"/>
  <c r="H90" i="1"/>
  <c r="J90" i="1" s="1"/>
  <c r="K90" i="1" s="1"/>
  <c r="L90" i="1" s="1"/>
  <c r="H91" i="1"/>
  <c r="J91" i="1" s="1"/>
  <c r="K91" i="1" s="1"/>
  <c r="L91" i="1" s="1"/>
  <c r="H92" i="1"/>
  <c r="J92" i="1" s="1"/>
  <c r="K92" i="1" s="1"/>
  <c r="L92" i="1" s="1"/>
  <c r="H93" i="1"/>
  <c r="J93" i="1" s="1"/>
  <c r="K93" i="1" s="1"/>
  <c r="L93" i="1" s="1"/>
  <c r="H94" i="1"/>
  <c r="J94" i="1" s="1"/>
  <c r="K94" i="1" s="1"/>
  <c r="L94" i="1" s="1"/>
  <c r="H95" i="1"/>
  <c r="J95" i="1" s="1"/>
  <c r="K95" i="1" s="1"/>
  <c r="L95" i="1" s="1"/>
  <c r="H96" i="1"/>
  <c r="J96" i="1" s="1"/>
  <c r="K96" i="1" s="1"/>
  <c r="L96" i="1" s="1"/>
  <c r="H97" i="1"/>
  <c r="J97" i="1" s="1"/>
  <c r="K97" i="1" s="1"/>
  <c r="L97" i="1" s="1"/>
  <c r="H98" i="1"/>
  <c r="J98" i="1" s="1"/>
  <c r="K98" i="1" s="1"/>
  <c r="L98" i="1" s="1"/>
  <c r="H99" i="1"/>
  <c r="J99" i="1" s="1"/>
  <c r="K99" i="1" s="1"/>
  <c r="L99" i="1" s="1"/>
  <c r="H100" i="1"/>
  <c r="J100" i="1" s="1"/>
  <c r="K100" i="1" s="1"/>
  <c r="L100" i="1" s="1"/>
  <c r="H101" i="1"/>
  <c r="J101" i="1" s="1"/>
  <c r="K101" i="1" s="1"/>
  <c r="L101" i="1" s="1"/>
  <c r="H102" i="1"/>
  <c r="J102" i="1" s="1"/>
  <c r="K102" i="1" s="1"/>
  <c r="L102" i="1" s="1"/>
  <c r="H103" i="1"/>
  <c r="J103" i="1" s="1"/>
  <c r="K103" i="1" s="1"/>
  <c r="L103" i="1" s="1"/>
  <c r="H104" i="1"/>
  <c r="J104" i="1" s="1"/>
  <c r="K104" i="1" s="1"/>
  <c r="L104" i="1" s="1"/>
  <c r="H105" i="1"/>
  <c r="J105" i="1" s="1"/>
  <c r="K105" i="1" s="1"/>
  <c r="L105" i="1" s="1"/>
  <c r="H106" i="1"/>
  <c r="J106" i="1" s="1"/>
  <c r="K106" i="1" s="1"/>
  <c r="L106" i="1" s="1"/>
  <c r="H107" i="1"/>
  <c r="J107" i="1" s="1"/>
  <c r="K107" i="1" s="1"/>
  <c r="L107" i="1" s="1"/>
  <c r="H108" i="1"/>
  <c r="J108" i="1" s="1"/>
  <c r="K108" i="1" s="1"/>
  <c r="L108" i="1" s="1"/>
  <c r="H109" i="1"/>
  <c r="J109" i="1" s="1"/>
  <c r="K109" i="1" s="1"/>
  <c r="L109" i="1" s="1"/>
  <c r="H110" i="1"/>
  <c r="J110" i="1" s="1"/>
  <c r="K110" i="1" s="1"/>
  <c r="L110" i="1" s="1"/>
  <c r="H111" i="1"/>
  <c r="J111" i="1" s="1"/>
  <c r="K111" i="1" s="1"/>
  <c r="L111" i="1" s="1"/>
  <c r="H112" i="1"/>
  <c r="J112" i="1" s="1"/>
  <c r="K112" i="1" s="1"/>
  <c r="L112" i="1" s="1"/>
  <c r="H113" i="1"/>
  <c r="J113" i="1" s="1"/>
  <c r="K113" i="1" s="1"/>
  <c r="L113" i="1" s="1"/>
  <c r="H114" i="1"/>
  <c r="J114" i="1" s="1"/>
  <c r="K114" i="1" s="1"/>
  <c r="L114" i="1" s="1"/>
  <c r="H115" i="1"/>
  <c r="J115" i="1" s="1"/>
  <c r="K115" i="1" s="1"/>
  <c r="L115" i="1" s="1"/>
  <c r="H116" i="1"/>
  <c r="J116" i="1" s="1"/>
  <c r="K116" i="1" s="1"/>
  <c r="L116" i="1" s="1"/>
  <c r="H117" i="1"/>
  <c r="J117" i="1" s="1"/>
  <c r="K117" i="1" s="1"/>
  <c r="L117" i="1" s="1"/>
  <c r="H118" i="1"/>
  <c r="J118" i="1" s="1"/>
  <c r="K118" i="1" s="1"/>
  <c r="L118" i="1" s="1"/>
  <c r="H119" i="1"/>
  <c r="J119" i="1" s="1"/>
  <c r="K119" i="1" s="1"/>
  <c r="L119" i="1" s="1"/>
  <c r="H120" i="1"/>
  <c r="J120" i="1" s="1"/>
  <c r="K120" i="1" s="1"/>
  <c r="L120" i="1" s="1"/>
  <c r="H121" i="1"/>
  <c r="J121" i="1" s="1"/>
  <c r="K121" i="1" s="1"/>
  <c r="L121" i="1" s="1"/>
  <c r="H122" i="1"/>
  <c r="J122" i="1" s="1"/>
  <c r="K122" i="1" s="1"/>
  <c r="L122" i="1" s="1"/>
  <c r="H123" i="1"/>
  <c r="J123" i="1" s="1"/>
  <c r="K123" i="1" s="1"/>
  <c r="L123" i="1" s="1"/>
  <c r="H124" i="1"/>
  <c r="J124" i="1" s="1"/>
  <c r="K124" i="1" s="1"/>
  <c r="L124" i="1" s="1"/>
  <c r="H125" i="1"/>
  <c r="J125" i="1" s="1"/>
  <c r="K125" i="1" s="1"/>
  <c r="L125" i="1" s="1"/>
  <c r="H126" i="1"/>
  <c r="J126" i="1" s="1"/>
  <c r="K126" i="1" s="1"/>
  <c r="L126" i="1" s="1"/>
  <c r="H127" i="1"/>
  <c r="J127" i="1" s="1"/>
  <c r="K127" i="1" s="1"/>
  <c r="L127" i="1" s="1"/>
  <c r="H128" i="1"/>
  <c r="J128" i="1" s="1"/>
  <c r="K128" i="1" s="1"/>
  <c r="L128" i="1" s="1"/>
  <c r="H129" i="1"/>
  <c r="J129" i="1" s="1"/>
  <c r="K129" i="1" s="1"/>
  <c r="L129" i="1" s="1"/>
  <c r="H130" i="1"/>
  <c r="J130" i="1" s="1"/>
  <c r="K130" i="1" s="1"/>
  <c r="L130" i="1" s="1"/>
  <c r="H131" i="1"/>
  <c r="J131" i="1" s="1"/>
  <c r="K131" i="1" s="1"/>
  <c r="L131" i="1" s="1"/>
  <c r="H132" i="1"/>
  <c r="J132" i="1" s="1"/>
  <c r="K132" i="1" s="1"/>
  <c r="L132" i="1" s="1"/>
  <c r="H133" i="1"/>
  <c r="J133" i="1" s="1"/>
  <c r="K133" i="1" s="1"/>
  <c r="L133" i="1" s="1"/>
  <c r="H134" i="1"/>
  <c r="J134" i="1" s="1"/>
  <c r="K134" i="1" s="1"/>
  <c r="L134" i="1" s="1"/>
  <c r="H135" i="1"/>
  <c r="J135" i="1" s="1"/>
  <c r="K135" i="1" s="1"/>
  <c r="L135" i="1" s="1"/>
  <c r="H136" i="1"/>
  <c r="J136" i="1" s="1"/>
  <c r="K136" i="1" s="1"/>
  <c r="L136" i="1" s="1"/>
  <c r="H137" i="1"/>
  <c r="J137" i="1" s="1"/>
  <c r="K137" i="1" s="1"/>
  <c r="L137" i="1" s="1"/>
  <c r="H138" i="1"/>
  <c r="J138" i="1" s="1"/>
  <c r="K138" i="1" s="1"/>
  <c r="L138" i="1" s="1"/>
  <c r="H139" i="1"/>
  <c r="J139" i="1" s="1"/>
  <c r="K139" i="1" s="1"/>
  <c r="L139" i="1" s="1"/>
  <c r="H140" i="1"/>
  <c r="J140" i="1" s="1"/>
  <c r="K140" i="1" s="1"/>
  <c r="L140" i="1" s="1"/>
  <c r="H141" i="1"/>
  <c r="J141" i="1" s="1"/>
  <c r="K141" i="1" s="1"/>
  <c r="L141" i="1" s="1"/>
  <c r="H142" i="1"/>
  <c r="J142" i="1" s="1"/>
  <c r="K142" i="1" s="1"/>
  <c r="L142" i="1" s="1"/>
  <c r="H143" i="1"/>
  <c r="J143" i="1" s="1"/>
  <c r="K143" i="1" s="1"/>
  <c r="L143" i="1" s="1"/>
  <c r="H144" i="1"/>
  <c r="J144" i="1" s="1"/>
  <c r="K144" i="1" s="1"/>
  <c r="L144" i="1" s="1"/>
  <c r="H145" i="1"/>
  <c r="J145" i="1" s="1"/>
  <c r="K145" i="1" s="1"/>
  <c r="L145" i="1" s="1"/>
  <c r="H146" i="1"/>
  <c r="J146" i="1" s="1"/>
  <c r="K146" i="1" s="1"/>
  <c r="L146" i="1" s="1"/>
  <c r="H147" i="1"/>
  <c r="J147" i="1" s="1"/>
  <c r="K147" i="1" s="1"/>
  <c r="L147" i="1" s="1"/>
  <c r="H148" i="1"/>
  <c r="J148" i="1" s="1"/>
  <c r="K148" i="1" s="1"/>
  <c r="L148" i="1" s="1"/>
  <c r="H149" i="1"/>
  <c r="J149" i="1" s="1"/>
  <c r="K149" i="1" s="1"/>
  <c r="L149" i="1" s="1"/>
  <c r="H150" i="1"/>
  <c r="J150" i="1" s="1"/>
  <c r="K150" i="1" s="1"/>
  <c r="L150" i="1" s="1"/>
  <c r="H151" i="1"/>
  <c r="J151" i="1" s="1"/>
  <c r="K151" i="1" s="1"/>
  <c r="L151" i="1" s="1"/>
  <c r="H152" i="1"/>
  <c r="J152" i="1" s="1"/>
  <c r="K152" i="1" s="1"/>
  <c r="L152" i="1" s="1"/>
  <c r="H153" i="1"/>
  <c r="J153" i="1" s="1"/>
  <c r="K153" i="1" s="1"/>
  <c r="L153" i="1" s="1"/>
  <c r="H154" i="1"/>
  <c r="J154" i="1" s="1"/>
  <c r="K154" i="1" s="1"/>
  <c r="L154" i="1" s="1"/>
  <c r="H155" i="1"/>
  <c r="J155" i="1" s="1"/>
  <c r="K155" i="1" s="1"/>
  <c r="L155" i="1" s="1"/>
  <c r="H156" i="1"/>
  <c r="J156" i="1" s="1"/>
  <c r="K156" i="1" s="1"/>
  <c r="L156" i="1" s="1"/>
  <c r="H157" i="1"/>
  <c r="J157" i="1" s="1"/>
  <c r="K157" i="1" s="1"/>
  <c r="L157" i="1" s="1"/>
  <c r="H158" i="1"/>
  <c r="J158" i="1" s="1"/>
  <c r="K158" i="1" s="1"/>
  <c r="L158" i="1" s="1"/>
  <c r="H159" i="1"/>
  <c r="J159" i="1" s="1"/>
  <c r="K159" i="1" s="1"/>
  <c r="L159" i="1" s="1"/>
  <c r="H160" i="1"/>
  <c r="J160" i="1" s="1"/>
  <c r="K160" i="1" s="1"/>
  <c r="L160" i="1" s="1"/>
  <c r="H161" i="1"/>
  <c r="J161" i="1" s="1"/>
  <c r="K161" i="1" s="1"/>
  <c r="L161" i="1" s="1"/>
  <c r="H162" i="1"/>
  <c r="J162" i="1" s="1"/>
  <c r="K162" i="1" s="1"/>
  <c r="L162" i="1" s="1"/>
  <c r="H163" i="1"/>
  <c r="J163" i="1" s="1"/>
  <c r="K163" i="1" s="1"/>
  <c r="L163" i="1" s="1"/>
  <c r="H164" i="1"/>
  <c r="J164" i="1" s="1"/>
  <c r="K164" i="1" s="1"/>
  <c r="L164" i="1" s="1"/>
  <c r="H165" i="1"/>
  <c r="J165" i="1" s="1"/>
  <c r="K165" i="1" s="1"/>
  <c r="L165" i="1" s="1"/>
  <c r="H166" i="1"/>
  <c r="J166" i="1" s="1"/>
  <c r="K166" i="1" s="1"/>
  <c r="L166" i="1" s="1"/>
  <c r="H167" i="1"/>
  <c r="J167" i="1" s="1"/>
  <c r="K167" i="1" s="1"/>
  <c r="L167" i="1" s="1"/>
  <c r="H168" i="1"/>
  <c r="J168" i="1" s="1"/>
  <c r="K168" i="1" s="1"/>
  <c r="L168" i="1" s="1"/>
  <c r="H169" i="1"/>
  <c r="J169" i="1" s="1"/>
  <c r="K169" i="1" s="1"/>
  <c r="L169" i="1" s="1"/>
  <c r="H170" i="1"/>
  <c r="J170" i="1" s="1"/>
  <c r="K170" i="1" s="1"/>
  <c r="L170" i="1" s="1"/>
  <c r="H171" i="1"/>
  <c r="J171" i="1" s="1"/>
  <c r="K171" i="1" s="1"/>
  <c r="L171" i="1" s="1"/>
  <c r="H172" i="1"/>
  <c r="J172" i="1" s="1"/>
  <c r="K172" i="1" s="1"/>
  <c r="L172" i="1" s="1"/>
  <c r="H173" i="1"/>
  <c r="J173" i="1" s="1"/>
  <c r="K173" i="1" s="1"/>
  <c r="L173" i="1" s="1"/>
  <c r="H174" i="1"/>
  <c r="J174" i="1" s="1"/>
  <c r="K174" i="1" s="1"/>
  <c r="L174" i="1" s="1"/>
  <c r="H175" i="1"/>
  <c r="J175" i="1" s="1"/>
  <c r="K175" i="1" s="1"/>
  <c r="L175" i="1" s="1"/>
  <c r="H176" i="1"/>
  <c r="J176" i="1" s="1"/>
  <c r="K176" i="1" s="1"/>
  <c r="L176" i="1" s="1"/>
  <c r="H177" i="1"/>
  <c r="J177" i="1" s="1"/>
  <c r="K177" i="1" s="1"/>
  <c r="L177" i="1" s="1"/>
  <c r="H178" i="1"/>
  <c r="J178" i="1" s="1"/>
  <c r="K178" i="1" s="1"/>
  <c r="L178" i="1" s="1"/>
  <c r="H179" i="1"/>
  <c r="J179" i="1" s="1"/>
  <c r="K179" i="1" s="1"/>
  <c r="L179" i="1" s="1"/>
  <c r="H180" i="1"/>
  <c r="J180" i="1" s="1"/>
  <c r="K180" i="1" s="1"/>
  <c r="L180" i="1" s="1"/>
  <c r="H181" i="1"/>
  <c r="J181" i="1" s="1"/>
  <c r="K181" i="1" s="1"/>
  <c r="L181" i="1" s="1"/>
  <c r="H182" i="1"/>
  <c r="J182" i="1" s="1"/>
  <c r="K182" i="1" s="1"/>
  <c r="L182" i="1" s="1"/>
  <c r="H183" i="1"/>
  <c r="J183" i="1" s="1"/>
  <c r="K183" i="1" s="1"/>
  <c r="L183" i="1" s="1"/>
  <c r="H184" i="1"/>
  <c r="J184" i="1" s="1"/>
  <c r="K184" i="1" s="1"/>
  <c r="L184" i="1" s="1"/>
  <c r="H185" i="1"/>
  <c r="J185" i="1" s="1"/>
  <c r="K185" i="1" s="1"/>
  <c r="L185" i="1" s="1"/>
  <c r="H186" i="1"/>
  <c r="J186" i="1" s="1"/>
  <c r="K186" i="1" s="1"/>
  <c r="L186" i="1" s="1"/>
  <c r="H187" i="1"/>
  <c r="J187" i="1" s="1"/>
  <c r="K187" i="1" s="1"/>
  <c r="L187" i="1" s="1"/>
  <c r="H188" i="1"/>
  <c r="J188" i="1" s="1"/>
  <c r="K188" i="1" s="1"/>
  <c r="L188" i="1" s="1"/>
  <c r="H189" i="1"/>
  <c r="J189" i="1" s="1"/>
  <c r="K189" i="1" s="1"/>
  <c r="L189" i="1" s="1"/>
  <c r="H190" i="1"/>
  <c r="J190" i="1" s="1"/>
  <c r="K190" i="1" s="1"/>
  <c r="L190" i="1" s="1"/>
  <c r="H191" i="1"/>
  <c r="J191" i="1" s="1"/>
  <c r="K191" i="1" s="1"/>
  <c r="L191" i="1" s="1"/>
  <c r="H192" i="1"/>
  <c r="J192" i="1" s="1"/>
  <c r="K192" i="1" s="1"/>
  <c r="L192" i="1" s="1"/>
  <c r="H193" i="1"/>
  <c r="J193" i="1" s="1"/>
  <c r="K193" i="1" s="1"/>
  <c r="L193" i="1" s="1"/>
  <c r="H194" i="1"/>
  <c r="J194" i="1" s="1"/>
  <c r="K194" i="1" s="1"/>
  <c r="L194" i="1" s="1"/>
  <c r="H195" i="1"/>
  <c r="J195" i="1" s="1"/>
  <c r="K195" i="1" s="1"/>
  <c r="L195" i="1" s="1"/>
  <c r="H196" i="1"/>
  <c r="J196" i="1" s="1"/>
  <c r="K196" i="1" s="1"/>
  <c r="L196" i="1" s="1"/>
  <c r="H197" i="1"/>
  <c r="J197" i="1" s="1"/>
  <c r="K197" i="1" s="1"/>
  <c r="L197" i="1" s="1"/>
  <c r="H198" i="1"/>
  <c r="J198" i="1" s="1"/>
  <c r="K198" i="1" s="1"/>
  <c r="L198" i="1" s="1"/>
  <c r="H199" i="1"/>
  <c r="J199" i="1" s="1"/>
  <c r="K199" i="1" s="1"/>
  <c r="L199" i="1" s="1"/>
  <c r="H200" i="1"/>
  <c r="J200" i="1" s="1"/>
  <c r="K200" i="1" s="1"/>
  <c r="L200" i="1" s="1"/>
  <c r="H201" i="1"/>
  <c r="J201" i="1" s="1"/>
  <c r="K201" i="1" s="1"/>
  <c r="L201" i="1" s="1"/>
  <c r="H202" i="1"/>
  <c r="J202" i="1" s="1"/>
  <c r="K202" i="1" s="1"/>
  <c r="L202" i="1" s="1"/>
  <c r="H203" i="1"/>
  <c r="J203" i="1" s="1"/>
  <c r="K203" i="1" s="1"/>
  <c r="L203" i="1" s="1"/>
  <c r="H204" i="1"/>
  <c r="J204" i="1" s="1"/>
  <c r="K204" i="1" s="1"/>
  <c r="L204" i="1" s="1"/>
  <c r="H205" i="1"/>
  <c r="J205" i="1" s="1"/>
  <c r="K205" i="1" s="1"/>
  <c r="L205" i="1" s="1"/>
  <c r="H206" i="1"/>
  <c r="J206" i="1" s="1"/>
  <c r="K206" i="1" s="1"/>
  <c r="L206" i="1" s="1"/>
  <c r="H207" i="1"/>
  <c r="J207" i="1" s="1"/>
  <c r="K207" i="1" s="1"/>
  <c r="L207" i="1" s="1"/>
  <c r="H208" i="1"/>
  <c r="J208" i="1" s="1"/>
  <c r="K208" i="1" s="1"/>
  <c r="L208" i="1" s="1"/>
  <c r="H209" i="1"/>
  <c r="J209" i="1" s="1"/>
  <c r="K209" i="1" s="1"/>
  <c r="L209" i="1" s="1"/>
  <c r="H210" i="1"/>
  <c r="J210" i="1" s="1"/>
  <c r="K210" i="1" s="1"/>
  <c r="L210" i="1" s="1"/>
  <c r="H211" i="1"/>
  <c r="J211" i="1" s="1"/>
  <c r="K211" i="1" s="1"/>
  <c r="L211" i="1" s="1"/>
  <c r="H212" i="1"/>
  <c r="J212" i="1" s="1"/>
  <c r="K212" i="1" s="1"/>
  <c r="L212" i="1" s="1"/>
  <c r="H213" i="1"/>
  <c r="J213" i="1" s="1"/>
  <c r="K213" i="1" s="1"/>
  <c r="L213" i="1" s="1"/>
  <c r="H214" i="1"/>
  <c r="J214" i="1" s="1"/>
  <c r="K214" i="1" s="1"/>
  <c r="L214" i="1" s="1"/>
  <c r="H215" i="1"/>
  <c r="J215" i="1" s="1"/>
  <c r="K215" i="1" s="1"/>
  <c r="L215" i="1" s="1"/>
  <c r="H216" i="1"/>
  <c r="J216" i="1" s="1"/>
  <c r="K216" i="1" s="1"/>
  <c r="L216" i="1" s="1"/>
  <c r="H217" i="1"/>
  <c r="J217" i="1" s="1"/>
  <c r="K217" i="1" s="1"/>
  <c r="L217" i="1" s="1"/>
  <c r="H218" i="1"/>
  <c r="J218" i="1" s="1"/>
  <c r="K218" i="1" s="1"/>
  <c r="L218" i="1" s="1"/>
  <c r="H219" i="1"/>
  <c r="J219" i="1" s="1"/>
  <c r="K219" i="1" s="1"/>
  <c r="L219" i="1" s="1"/>
  <c r="H220" i="1"/>
  <c r="J220" i="1" s="1"/>
  <c r="K220" i="1" s="1"/>
  <c r="L220" i="1" s="1"/>
  <c r="H221" i="1"/>
  <c r="J221" i="1" s="1"/>
  <c r="K221" i="1" s="1"/>
  <c r="L221" i="1" s="1"/>
  <c r="H222" i="1"/>
  <c r="J222" i="1" s="1"/>
  <c r="K222" i="1" s="1"/>
  <c r="L222" i="1" s="1"/>
  <c r="H223" i="1"/>
  <c r="J223" i="1" s="1"/>
  <c r="K223" i="1" s="1"/>
  <c r="L223" i="1" s="1"/>
  <c r="H224" i="1"/>
  <c r="J224" i="1" s="1"/>
  <c r="K224" i="1" s="1"/>
  <c r="L224" i="1" s="1"/>
  <c r="H225" i="1"/>
  <c r="J225" i="1" s="1"/>
  <c r="K225" i="1" s="1"/>
  <c r="L225" i="1" s="1"/>
  <c r="H226" i="1"/>
  <c r="J226" i="1" s="1"/>
  <c r="K226" i="1" s="1"/>
  <c r="L226" i="1" s="1"/>
  <c r="H227" i="1"/>
  <c r="J227" i="1" s="1"/>
  <c r="K227" i="1" s="1"/>
  <c r="L227" i="1" s="1"/>
  <c r="H228" i="1"/>
  <c r="J228" i="1" s="1"/>
  <c r="K228" i="1" s="1"/>
  <c r="L228" i="1" s="1"/>
  <c r="H229" i="1"/>
  <c r="J229" i="1" s="1"/>
  <c r="K229" i="1" s="1"/>
  <c r="L229" i="1" s="1"/>
  <c r="H230" i="1"/>
  <c r="J230" i="1" s="1"/>
  <c r="K230" i="1" s="1"/>
  <c r="L230" i="1" s="1"/>
  <c r="H231" i="1"/>
  <c r="J231" i="1" s="1"/>
  <c r="K231" i="1" s="1"/>
  <c r="L231" i="1" s="1"/>
  <c r="H232" i="1"/>
  <c r="J232" i="1" s="1"/>
  <c r="K232" i="1" s="1"/>
  <c r="L232" i="1" s="1"/>
  <c r="H233" i="1"/>
  <c r="J233" i="1" s="1"/>
  <c r="K233" i="1" s="1"/>
  <c r="L233" i="1" s="1"/>
  <c r="H234" i="1"/>
  <c r="J234" i="1" s="1"/>
  <c r="K234" i="1" s="1"/>
  <c r="L234" i="1" s="1"/>
  <c r="H235" i="1"/>
  <c r="J235" i="1" s="1"/>
  <c r="K235" i="1" s="1"/>
  <c r="L235" i="1" s="1"/>
  <c r="H236" i="1"/>
  <c r="J236" i="1" s="1"/>
  <c r="K236" i="1" s="1"/>
  <c r="L236" i="1" s="1"/>
  <c r="H237" i="1"/>
  <c r="J237" i="1" s="1"/>
  <c r="K237" i="1" s="1"/>
  <c r="L237" i="1" s="1"/>
  <c r="H238" i="1"/>
  <c r="J238" i="1" s="1"/>
  <c r="K238" i="1" s="1"/>
  <c r="L238" i="1" s="1"/>
  <c r="H239" i="1"/>
  <c r="J239" i="1" s="1"/>
  <c r="K239" i="1" s="1"/>
  <c r="L239" i="1" s="1"/>
  <c r="H240" i="1"/>
  <c r="J240" i="1" s="1"/>
  <c r="K240" i="1" s="1"/>
  <c r="L240" i="1" s="1"/>
  <c r="H241" i="1"/>
  <c r="J241" i="1" s="1"/>
  <c r="K241" i="1" s="1"/>
  <c r="L241" i="1" s="1"/>
  <c r="H242" i="1"/>
  <c r="J242" i="1" s="1"/>
  <c r="K242" i="1" s="1"/>
  <c r="L242" i="1" s="1"/>
  <c r="H243" i="1"/>
  <c r="J243" i="1" s="1"/>
  <c r="K243" i="1" s="1"/>
  <c r="L243" i="1" s="1"/>
  <c r="H244" i="1"/>
  <c r="J244" i="1" s="1"/>
  <c r="K244" i="1" s="1"/>
  <c r="L244" i="1" s="1"/>
  <c r="H245" i="1"/>
  <c r="J245" i="1" s="1"/>
  <c r="K245" i="1" s="1"/>
  <c r="L245" i="1" s="1"/>
  <c r="H246" i="1"/>
  <c r="J246" i="1" s="1"/>
  <c r="K246" i="1" s="1"/>
  <c r="L246" i="1" s="1"/>
  <c r="H247" i="1"/>
  <c r="J247" i="1" s="1"/>
  <c r="K247" i="1" s="1"/>
  <c r="L247" i="1" s="1"/>
  <c r="H248" i="1"/>
  <c r="J248" i="1" s="1"/>
  <c r="K248" i="1" s="1"/>
  <c r="L248" i="1" s="1"/>
  <c r="H249" i="1"/>
  <c r="J249" i="1" s="1"/>
  <c r="K249" i="1" s="1"/>
  <c r="L249" i="1" s="1"/>
  <c r="H250" i="1"/>
  <c r="J250" i="1" s="1"/>
  <c r="K250" i="1" s="1"/>
  <c r="L250" i="1" s="1"/>
  <c r="H251" i="1"/>
  <c r="J251" i="1" s="1"/>
  <c r="K251" i="1" s="1"/>
  <c r="L251" i="1" s="1"/>
  <c r="H252" i="1"/>
  <c r="J252" i="1" s="1"/>
  <c r="K252" i="1" s="1"/>
  <c r="L252" i="1" s="1"/>
  <c r="H253" i="1"/>
  <c r="J253" i="1" s="1"/>
  <c r="K253" i="1" s="1"/>
  <c r="L253" i="1" s="1"/>
  <c r="H254" i="1"/>
  <c r="J254" i="1" s="1"/>
  <c r="K254" i="1" s="1"/>
  <c r="L254" i="1" s="1"/>
  <c r="H255" i="1"/>
  <c r="J255" i="1" s="1"/>
  <c r="K255" i="1" s="1"/>
  <c r="L255" i="1" s="1"/>
  <c r="H256" i="1"/>
  <c r="J256" i="1" s="1"/>
  <c r="K256" i="1" s="1"/>
  <c r="L256" i="1" s="1"/>
  <c r="H257" i="1"/>
  <c r="J257" i="1" s="1"/>
  <c r="K257" i="1" s="1"/>
  <c r="L257" i="1" s="1"/>
  <c r="H258" i="1"/>
  <c r="J258" i="1" s="1"/>
  <c r="K258" i="1" s="1"/>
  <c r="L258" i="1" s="1"/>
  <c r="H259" i="1"/>
  <c r="J259" i="1" s="1"/>
  <c r="K259" i="1" s="1"/>
  <c r="L259" i="1" s="1"/>
  <c r="H260" i="1"/>
  <c r="J260" i="1" s="1"/>
  <c r="K260" i="1" s="1"/>
  <c r="L260" i="1" s="1"/>
  <c r="H261" i="1"/>
  <c r="J261" i="1" s="1"/>
  <c r="K261" i="1" s="1"/>
  <c r="L261" i="1" s="1"/>
  <c r="H262" i="1"/>
  <c r="J262" i="1" s="1"/>
  <c r="K262" i="1" s="1"/>
  <c r="L262" i="1" s="1"/>
  <c r="H263" i="1"/>
  <c r="J263" i="1" s="1"/>
  <c r="K263" i="1" s="1"/>
  <c r="L263" i="1" s="1"/>
  <c r="H264" i="1"/>
  <c r="J264" i="1" s="1"/>
  <c r="K264" i="1" s="1"/>
  <c r="L264" i="1" s="1"/>
  <c r="H265" i="1"/>
  <c r="J265" i="1" s="1"/>
  <c r="K265" i="1" s="1"/>
  <c r="L265" i="1" s="1"/>
  <c r="H266" i="1"/>
  <c r="J266" i="1" s="1"/>
  <c r="K266" i="1" s="1"/>
  <c r="L266" i="1" s="1"/>
  <c r="H267" i="1"/>
  <c r="J267" i="1" s="1"/>
  <c r="K267" i="1" s="1"/>
  <c r="L267" i="1" s="1"/>
  <c r="H268" i="1"/>
  <c r="J268" i="1" s="1"/>
  <c r="K268" i="1" s="1"/>
  <c r="L268" i="1" s="1"/>
  <c r="H269" i="1"/>
  <c r="J269" i="1" s="1"/>
  <c r="K269" i="1" s="1"/>
  <c r="L269" i="1" s="1"/>
  <c r="H270" i="1"/>
  <c r="J270" i="1" s="1"/>
  <c r="K270" i="1" s="1"/>
  <c r="L270" i="1" s="1"/>
  <c r="H271" i="1"/>
  <c r="J271" i="1" s="1"/>
  <c r="K271" i="1" s="1"/>
  <c r="L271" i="1" s="1"/>
  <c r="H272" i="1"/>
  <c r="J272" i="1" s="1"/>
  <c r="K272" i="1" s="1"/>
  <c r="L272" i="1" s="1"/>
  <c r="H273" i="1"/>
  <c r="J273" i="1" s="1"/>
  <c r="K273" i="1" s="1"/>
  <c r="L273" i="1" s="1"/>
  <c r="H274" i="1"/>
  <c r="J274" i="1" s="1"/>
  <c r="K274" i="1" s="1"/>
  <c r="L274" i="1" s="1"/>
  <c r="H275" i="1"/>
  <c r="J275" i="1" s="1"/>
  <c r="K275" i="1" s="1"/>
  <c r="L275" i="1" s="1"/>
  <c r="H276" i="1"/>
  <c r="J276" i="1" s="1"/>
  <c r="K276" i="1" s="1"/>
  <c r="L276" i="1" s="1"/>
  <c r="H277" i="1"/>
  <c r="J277" i="1" s="1"/>
  <c r="K277" i="1" s="1"/>
  <c r="L277" i="1" s="1"/>
  <c r="H278" i="1"/>
  <c r="J278" i="1" s="1"/>
  <c r="K278" i="1" s="1"/>
  <c r="L278" i="1" s="1"/>
  <c r="H279" i="1"/>
  <c r="J279" i="1" s="1"/>
  <c r="K279" i="1" s="1"/>
  <c r="L279" i="1" s="1"/>
  <c r="H280" i="1"/>
  <c r="J280" i="1" s="1"/>
  <c r="K280" i="1" s="1"/>
  <c r="L280" i="1" s="1"/>
  <c r="H281" i="1"/>
  <c r="J281" i="1" s="1"/>
  <c r="K281" i="1" s="1"/>
  <c r="L281" i="1" s="1"/>
  <c r="H282" i="1"/>
  <c r="J282" i="1" s="1"/>
  <c r="K282" i="1" s="1"/>
  <c r="L282" i="1" s="1"/>
  <c r="H283" i="1"/>
  <c r="J283" i="1" s="1"/>
  <c r="K283" i="1" s="1"/>
  <c r="L283" i="1" s="1"/>
  <c r="H284" i="1"/>
  <c r="J284" i="1" s="1"/>
  <c r="K284" i="1" s="1"/>
  <c r="L284" i="1" s="1"/>
  <c r="H285" i="1"/>
  <c r="J285" i="1" s="1"/>
  <c r="K285" i="1" s="1"/>
  <c r="L285" i="1" s="1"/>
  <c r="H286" i="1"/>
  <c r="J286" i="1" s="1"/>
  <c r="K286" i="1" s="1"/>
  <c r="L286" i="1" s="1"/>
  <c r="H287" i="1"/>
  <c r="J287" i="1" s="1"/>
  <c r="K287" i="1" s="1"/>
  <c r="L287" i="1" s="1"/>
  <c r="H288" i="1"/>
  <c r="J288" i="1" s="1"/>
  <c r="K288" i="1" s="1"/>
  <c r="L288" i="1" s="1"/>
  <c r="H289" i="1"/>
  <c r="J289" i="1" s="1"/>
  <c r="K289" i="1" s="1"/>
  <c r="L289" i="1" s="1"/>
  <c r="H290" i="1"/>
  <c r="J290" i="1" s="1"/>
  <c r="K290" i="1" s="1"/>
  <c r="L290" i="1" s="1"/>
  <c r="H291" i="1"/>
  <c r="J291" i="1" s="1"/>
  <c r="K291" i="1" s="1"/>
  <c r="L291" i="1" s="1"/>
  <c r="H292" i="1"/>
  <c r="J292" i="1" s="1"/>
  <c r="K292" i="1" s="1"/>
  <c r="L292" i="1" s="1"/>
  <c r="H293" i="1"/>
  <c r="J293" i="1" s="1"/>
  <c r="K293" i="1" s="1"/>
  <c r="L293" i="1" s="1"/>
  <c r="H294" i="1"/>
  <c r="J294" i="1" s="1"/>
  <c r="K294" i="1" s="1"/>
  <c r="L294" i="1" s="1"/>
  <c r="H295" i="1"/>
  <c r="J295" i="1" s="1"/>
  <c r="K295" i="1" s="1"/>
  <c r="L295" i="1" s="1"/>
  <c r="H296" i="1"/>
  <c r="J296" i="1" s="1"/>
  <c r="K296" i="1" s="1"/>
  <c r="L296" i="1" s="1"/>
  <c r="H297" i="1"/>
  <c r="J297" i="1" s="1"/>
  <c r="K297" i="1" s="1"/>
  <c r="L297" i="1" s="1"/>
  <c r="H298" i="1"/>
  <c r="J298" i="1" s="1"/>
  <c r="K298" i="1" s="1"/>
  <c r="L298" i="1" s="1"/>
  <c r="H299" i="1"/>
  <c r="J299" i="1" s="1"/>
  <c r="K299" i="1" s="1"/>
  <c r="L299" i="1" s="1"/>
  <c r="H300" i="1"/>
  <c r="J300" i="1" s="1"/>
  <c r="K300" i="1" s="1"/>
  <c r="L300" i="1" s="1"/>
  <c r="H301" i="1"/>
  <c r="J301" i="1" s="1"/>
  <c r="K301" i="1" s="1"/>
  <c r="L301" i="1" s="1"/>
  <c r="H302" i="1"/>
  <c r="J302" i="1" s="1"/>
  <c r="K302" i="1" s="1"/>
  <c r="L302" i="1" s="1"/>
  <c r="H303" i="1"/>
  <c r="J303" i="1" s="1"/>
  <c r="K303" i="1" s="1"/>
  <c r="L303" i="1" s="1"/>
  <c r="H304" i="1"/>
  <c r="J304" i="1" s="1"/>
  <c r="K304" i="1" s="1"/>
  <c r="L304" i="1" s="1"/>
  <c r="H305" i="1"/>
  <c r="J305" i="1" s="1"/>
  <c r="K305" i="1" s="1"/>
  <c r="L305" i="1" s="1"/>
  <c r="H306" i="1"/>
  <c r="J306" i="1" s="1"/>
  <c r="K306" i="1" s="1"/>
  <c r="L306" i="1" s="1"/>
  <c r="H307" i="1"/>
  <c r="J307" i="1" s="1"/>
  <c r="K307" i="1" s="1"/>
  <c r="L307" i="1" s="1"/>
  <c r="H308" i="1"/>
  <c r="J308" i="1" s="1"/>
  <c r="K308" i="1" s="1"/>
  <c r="L308" i="1" s="1"/>
  <c r="H309" i="1"/>
  <c r="J309" i="1" s="1"/>
  <c r="K309" i="1" s="1"/>
  <c r="L309" i="1" s="1"/>
  <c r="H310" i="1"/>
  <c r="J310" i="1" s="1"/>
  <c r="K310" i="1" s="1"/>
  <c r="L310" i="1" s="1"/>
  <c r="H311" i="1"/>
  <c r="J311" i="1" s="1"/>
  <c r="K311" i="1" s="1"/>
  <c r="L311" i="1" s="1"/>
  <c r="H312" i="1"/>
  <c r="J312" i="1" s="1"/>
  <c r="K312" i="1" s="1"/>
  <c r="L312" i="1" s="1"/>
  <c r="H313" i="1"/>
  <c r="J313" i="1" s="1"/>
  <c r="K313" i="1" s="1"/>
  <c r="L313" i="1" s="1"/>
  <c r="H314" i="1"/>
  <c r="J314" i="1" s="1"/>
  <c r="K314" i="1" s="1"/>
  <c r="L314" i="1" s="1"/>
  <c r="H315" i="1"/>
  <c r="J315" i="1" s="1"/>
  <c r="K315" i="1" s="1"/>
  <c r="L315" i="1" s="1"/>
  <c r="H316" i="1"/>
  <c r="J316" i="1" s="1"/>
  <c r="K316" i="1" s="1"/>
  <c r="L316" i="1" s="1"/>
  <c r="H317" i="1"/>
  <c r="J317" i="1" s="1"/>
  <c r="K317" i="1" s="1"/>
  <c r="L317" i="1" s="1"/>
  <c r="H318" i="1"/>
  <c r="J318" i="1" s="1"/>
  <c r="K318" i="1" s="1"/>
  <c r="L318" i="1" s="1"/>
  <c r="H319" i="1"/>
  <c r="J319" i="1" s="1"/>
  <c r="K319" i="1" s="1"/>
  <c r="L319" i="1" s="1"/>
  <c r="H320" i="1"/>
  <c r="J320" i="1" s="1"/>
  <c r="K320" i="1" s="1"/>
  <c r="L320" i="1" s="1"/>
  <c r="H321" i="1"/>
  <c r="J321" i="1" s="1"/>
  <c r="K321" i="1" s="1"/>
  <c r="L321" i="1" s="1"/>
  <c r="H322" i="1"/>
  <c r="J322" i="1" s="1"/>
  <c r="K322" i="1" s="1"/>
  <c r="L322" i="1" s="1"/>
  <c r="H323" i="1"/>
  <c r="J323" i="1" s="1"/>
  <c r="K323" i="1" s="1"/>
  <c r="L323" i="1" s="1"/>
  <c r="H324" i="1"/>
  <c r="J324" i="1" s="1"/>
  <c r="K324" i="1" s="1"/>
  <c r="L324" i="1" s="1"/>
  <c r="H325" i="1"/>
  <c r="J325" i="1" s="1"/>
  <c r="K325" i="1" s="1"/>
  <c r="L325" i="1" s="1"/>
  <c r="H326" i="1"/>
  <c r="J326" i="1" s="1"/>
  <c r="K326" i="1" s="1"/>
  <c r="L326" i="1" s="1"/>
  <c r="H327" i="1"/>
  <c r="J327" i="1" s="1"/>
  <c r="K327" i="1" s="1"/>
  <c r="L327" i="1" s="1"/>
  <c r="H328" i="1"/>
  <c r="J328" i="1" s="1"/>
  <c r="K328" i="1" s="1"/>
  <c r="L328" i="1" s="1"/>
  <c r="H329" i="1"/>
  <c r="J329" i="1" s="1"/>
  <c r="K329" i="1" s="1"/>
  <c r="L329" i="1" s="1"/>
  <c r="H330" i="1"/>
  <c r="J330" i="1" s="1"/>
  <c r="K330" i="1" s="1"/>
  <c r="L330" i="1" s="1"/>
  <c r="H331" i="1"/>
  <c r="J331" i="1" s="1"/>
  <c r="K331" i="1" s="1"/>
  <c r="L331" i="1" s="1"/>
  <c r="H332" i="1"/>
  <c r="J332" i="1" s="1"/>
  <c r="K332" i="1" s="1"/>
  <c r="L332" i="1" s="1"/>
  <c r="H333" i="1"/>
  <c r="J333" i="1" s="1"/>
  <c r="K333" i="1" s="1"/>
  <c r="L333" i="1" s="1"/>
  <c r="H334" i="1"/>
  <c r="J334" i="1" s="1"/>
  <c r="K334" i="1" s="1"/>
  <c r="L334" i="1" s="1"/>
  <c r="H335" i="1"/>
  <c r="J335" i="1" s="1"/>
  <c r="K335" i="1" s="1"/>
  <c r="L335" i="1" s="1"/>
  <c r="H336" i="1"/>
  <c r="J336" i="1" s="1"/>
  <c r="K336" i="1" s="1"/>
  <c r="L336" i="1" s="1"/>
  <c r="H337" i="1"/>
  <c r="J337" i="1" s="1"/>
  <c r="K337" i="1" s="1"/>
  <c r="L337" i="1" s="1"/>
  <c r="H338" i="1"/>
  <c r="J338" i="1" s="1"/>
  <c r="K338" i="1" s="1"/>
  <c r="L338" i="1" s="1"/>
  <c r="H339" i="1"/>
  <c r="J339" i="1" s="1"/>
  <c r="K339" i="1" s="1"/>
  <c r="L339" i="1" s="1"/>
  <c r="H340" i="1"/>
  <c r="J340" i="1" s="1"/>
  <c r="K340" i="1" s="1"/>
  <c r="L340" i="1" s="1"/>
  <c r="H341" i="1"/>
  <c r="J341" i="1" s="1"/>
  <c r="K341" i="1" s="1"/>
  <c r="L341" i="1" s="1"/>
  <c r="H342" i="1"/>
  <c r="J342" i="1" s="1"/>
  <c r="K342" i="1" s="1"/>
  <c r="L342" i="1" s="1"/>
  <c r="H343" i="1"/>
  <c r="J343" i="1" s="1"/>
  <c r="K343" i="1" s="1"/>
  <c r="L343" i="1" s="1"/>
  <c r="H344" i="1"/>
  <c r="J344" i="1" s="1"/>
  <c r="K344" i="1" s="1"/>
  <c r="L344" i="1" s="1"/>
  <c r="H345" i="1"/>
  <c r="J345" i="1" s="1"/>
  <c r="K345" i="1" s="1"/>
  <c r="L345" i="1" s="1"/>
  <c r="H346" i="1"/>
  <c r="J346" i="1" s="1"/>
  <c r="K346" i="1" s="1"/>
  <c r="L346" i="1" s="1"/>
  <c r="H347" i="1"/>
  <c r="J347" i="1" s="1"/>
  <c r="K347" i="1" s="1"/>
  <c r="L347" i="1" s="1"/>
  <c r="H348" i="1"/>
  <c r="J348" i="1" s="1"/>
  <c r="K348" i="1" s="1"/>
  <c r="L348" i="1" s="1"/>
  <c r="H349" i="1"/>
  <c r="J349" i="1" s="1"/>
  <c r="K349" i="1" s="1"/>
  <c r="L349" i="1" s="1"/>
  <c r="H350" i="1"/>
  <c r="J350" i="1" s="1"/>
  <c r="K350" i="1" s="1"/>
  <c r="L350" i="1" s="1"/>
  <c r="H351" i="1"/>
  <c r="J351" i="1" s="1"/>
  <c r="K351" i="1" s="1"/>
  <c r="L351" i="1" s="1"/>
  <c r="H352" i="1"/>
  <c r="J352" i="1" s="1"/>
  <c r="K352" i="1" s="1"/>
  <c r="L352" i="1" s="1"/>
  <c r="H353" i="1"/>
  <c r="J353" i="1" s="1"/>
  <c r="K353" i="1" s="1"/>
  <c r="L353" i="1" s="1"/>
  <c r="H354" i="1"/>
  <c r="J354" i="1" s="1"/>
  <c r="K354" i="1" s="1"/>
  <c r="L354" i="1" s="1"/>
  <c r="H355" i="1"/>
  <c r="J355" i="1" s="1"/>
  <c r="K355" i="1" s="1"/>
  <c r="L355" i="1" s="1"/>
  <c r="H356" i="1"/>
  <c r="J356" i="1" s="1"/>
  <c r="K356" i="1" s="1"/>
  <c r="L356" i="1" s="1"/>
  <c r="H357" i="1"/>
  <c r="J357" i="1" s="1"/>
  <c r="K357" i="1" s="1"/>
  <c r="L357" i="1" s="1"/>
  <c r="H358" i="1"/>
  <c r="J358" i="1" s="1"/>
  <c r="K358" i="1" s="1"/>
  <c r="L358" i="1" s="1"/>
  <c r="H359" i="1"/>
  <c r="J359" i="1" s="1"/>
  <c r="K359" i="1" s="1"/>
  <c r="L359" i="1" s="1"/>
  <c r="H360" i="1"/>
  <c r="J360" i="1" s="1"/>
  <c r="K360" i="1" s="1"/>
  <c r="L360" i="1" s="1"/>
  <c r="H361" i="1"/>
  <c r="J361" i="1" s="1"/>
  <c r="K361" i="1" s="1"/>
  <c r="L361" i="1" s="1"/>
  <c r="H362" i="1"/>
  <c r="J362" i="1" s="1"/>
  <c r="K362" i="1" s="1"/>
  <c r="L362" i="1" s="1"/>
  <c r="H363" i="1"/>
  <c r="J363" i="1" s="1"/>
  <c r="K363" i="1" s="1"/>
  <c r="L363" i="1" s="1"/>
  <c r="H364" i="1"/>
  <c r="J364" i="1" s="1"/>
  <c r="K364" i="1" s="1"/>
  <c r="L364" i="1" s="1"/>
  <c r="H365" i="1"/>
  <c r="J365" i="1" s="1"/>
  <c r="K365" i="1" s="1"/>
  <c r="L365" i="1" s="1"/>
  <c r="H366" i="1"/>
  <c r="J366" i="1" s="1"/>
  <c r="K366" i="1" s="1"/>
  <c r="L366" i="1" s="1"/>
  <c r="H367" i="1"/>
  <c r="J367" i="1" s="1"/>
  <c r="K367" i="1" s="1"/>
  <c r="L367" i="1" s="1"/>
  <c r="H368" i="1"/>
  <c r="J368" i="1" s="1"/>
  <c r="K368" i="1" s="1"/>
  <c r="L368" i="1" s="1"/>
  <c r="H369" i="1"/>
  <c r="J369" i="1" s="1"/>
  <c r="K369" i="1" s="1"/>
  <c r="L369" i="1" s="1"/>
  <c r="H370" i="1"/>
  <c r="J370" i="1" s="1"/>
  <c r="K370" i="1" s="1"/>
  <c r="L370" i="1" s="1"/>
  <c r="H371" i="1"/>
  <c r="J371" i="1" s="1"/>
  <c r="K371" i="1" s="1"/>
  <c r="L371" i="1" s="1"/>
  <c r="H372" i="1"/>
  <c r="J372" i="1" s="1"/>
  <c r="K372" i="1" s="1"/>
  <c r="L372" i="1" s="1"/>
  <c r="H373" i="1"/>
  <c r="J373" i="1" s="1"/>
  <c r="K373" i="1" s="1"/>
  <c r="L373" i="1" s="1"/>
  <c r="H374" i="1"/>
  <c r="J374" i="1" s="1"/>
  <c r="K374" i="1" s="1"/>
  <c r="L374" i="1" s="1"/>
  <c r="H375" i="1"/>
  <c r="J375" i="1" s="1"/>
  <c r="K375" i="1" s="1"/>
  <c r="L375" i="1" s="1"/>
  <c r="H376" i="1"/>
  <c r="J376" i="1" s="1"/>
  <c r="K376" i="1" s="1"/>
  <c r="L376" i="1" s="1"/>
  <c r="H377" i="1"/>
  <c r="J377" i="1" s="1"/>
  <c r="K377" i="1" s="1"/>
  <c r="L377" i="1" s="1"/>
  <c r="H378" i="1"/>
  <c r="J378" i="1" s="1"/>
  <c r="K378" i="1" s="1"/>
  <c r="L378" i="1" s="1"/>
  <c r="H379" i="1"/>
  <c r="J379" i="1" s="1"/>
  <c r="K379" i="1" s="1"/>
  <c r="L379" i="1" s="1"/>
  <c r="H380" i="1"/>
  <c r="J380" i="1" s="1"/>
  <c r="K380" i="1" s="1"/>
  <c r="L380" i="1" s="1"/>
  <c r="H381" i="1"/>
  <c r="J381" i="1" s="1"/>
  <c r="K381" i="1" s="1"/>
  <c r="L381" i="1" s="1"/>
  <c r="H382" i="1"/>
  <c r="J382" i="1" s="1"/>
  <c r="K382" i="1" s="1"/>
  <c r="L382" i="1" s="1"/>
  <c r="H383" i="1"/>
  <c r="J383" i="1" s="1"/>
  <c r="K383" i="1" s="1"/>
  <c r="L383" i="1" s="1"/>
  <c r="H384" i="1"/>
  <c r="J384" i="1" s="1"/>
  <c r="K384" i="1" s="1"/>
  <c r="L384" i="1" s="1"/>
  <c r="H385" i="1"/>
  <c r="J385" i="1" s="1"/>
  <c r="K385" i="1" s="1"/>
  <c r="L385" i="1" s="1"/>
  <c r="H386" i="1"/>
  <c r="J386" i="1" s="1"/>
  <c r="K386" i="1" s="1"/>
  <c r="L386" i="1" s="1"/>
  <c r="H387" i="1"/>
  <c r="J387" i="1" s="1"/>
  <c r="K387" i="1" s="1"/>
  <c r="L387" i="1" s="1"/>
  <c r="H388" i="1"/>
  <c r="J388" i="1" s="1"/>
  <c r="K388" i="1" s="1"/>
  <c r="L388" i="1" s="1"/>
  <c r="H389" i="1"/>
  <c r="J389" i="1" s="1"/>
  <c r="K389" i="1" s="1"/>
  <c r="L389" i="1" s="1"/>
  <c r="H390" i="1"/>
  <c r="J390" i="1" s="1"/>
  <c r="K390" i="1" s="1"/>
  <c r="L390" i="1" s="1"/>
  <c r="H391" i="1"/>
  <c r="J391" i="1" s="1"/>
  <c r="K391" i="1" s="1"/>
  <c r="L391" i="1" s="1"/>
  <c r="H392" i="1"/>
  <c r="J392" i="1" s="1"/>
  <c r="K392" i="1" s="1"/>
  <c r="L392" i="1" s="1"/>
  <c r="H393" i="1"/>
  <c r="J393" i="1" s="1"/>
  <c r="K393" i="1" s="1"/>
  <c r="L393" i="1" s="1"/>
  <c r="H394" i="1"/>
  <c r="J394" i="1" s="1"/>
  <c r="K394" i="1" s="1"/>
  <c r="L394" i="1" s="1"/>
  <c r="H395" i="1"/>
  <c r="J395" i="1" s="1"/>
  <c r="K395" i="1" s="1"/>
  <c r="L395" i="1" s="1"/>
  <c r="H396" i="1"/>
  <c r="J396" i="1" s="1"/>
  <c r="K396" i="1" s="1"/>
  <c r="L396" i="1" s="1"/>
  <c r="H397" i="1"/>
  <c r="J397" i="1" s="1"/>
  <c r="K397" i="1" s="1"/>
  <c r="L397" i="1" s="1"/>
  <c r="H398" i="1"/>
  <c r="J398" i="1" s="1"/>
  <c r="K398" i="1" s="1"/>
  <c r="L398" i="1" s="1"/>
  <c r="H399" i="1"/>
  <c r="J399" i="1" s="1"/>
  <c r="K399" i="1" s="1"/>
  <c r="L399" i="1" s="1"/>
  <c r="H400" i="1"/>
  <c r="J400" i="1" s="1"/>
  <c r="K400" i="1" s="1"/>
  <c r="L400" i="1" s="1"/>
  <c r="H401" i="1"/>
  <c r="J401" i="1" s="1"/>
  <c r="K401" i="1" s="1"/>
  <c r="L401" i="1" s="1"/>
  <c r="H402" i="1"/>
  <c r="J402" i="1" s="1"/>
  <c r="K402" i="1" s="1"/>
  <c r="L402" i="1" s="1"/>
  <c r="H403" i="1"/>
  <c r="J403" i="1" s="1"/>
  <c r="K403" i="1" s="1"/>
  <c r="L403" i="1" s="1"/>
  <c r="H404" i="1"/>
  <c r="J404" i="1" s="1"/>
  <c r="K404" i="1" s="1"/>
  <c r="L404" i="1" s="1"/>
  <c r="H405" i="1"/>
  <c r="J405" i="1" s="1"/>
  <c r="K405" i="1" s="1"/>
  <c r="L405" i="1" s="1"/>
  <c r="H406" i="1"/>
  <c r="J406" i="1" s="1"/>
  <c r="K406" i="1" s="1"/>
  <c r="L406" i="1" s="1"/>
  <c r="H407" i="1"/>
  <c r="J407" i="1" s="1"/>
  <c r="K407" i="1" s="1"/>
  <c r="L407" i="1" s="1"/>
  <c r="H408" i="1"/>
  <c r="J408" i="1" s="1"/>
  <c r="K408" i="1" s="1"/>
  <c r="L408" i="1" s="1"/>
  <c r="H409" i="1"/>
  <c r="J409" i="1" s="1"/>
  <c r="K409" i="1" s="1"/>
  <c r="L409" i="1" s="1"/>
  <c r="H410" i="1"/>
  <c r="J410" i="1" s="1"/>
  <c r="K410" i="1" s="1"/>
  <c r="L410" i="1" s="1"/>
  <c r="H411" i="1"/>
  <c r="J411" i="1" s="1"/>
  <c r="K411" i="1" s="1"/>
  <c r="L411" i="1" s="1"/>
  <c r="H412" i="1"/>
  <c r="J412" i="1" s="1"/>
  <c r="K412" i="1" s="1"/>
  <c r="L412" i="1" s="1"/>
  <c r="H413" i="1"/>
  <c r="J413" i="1" s="1"/>
  <c r="K413" i="1" s="1"/>
  <c r="L413" i="1" s="1"/>
  <c r="H414" i="1"/>
  <c r="J414" i="1" s="1"/>
  <c r="K414" i="1" s="1"/>
  <c r="L414" i="1" s="1"/>
  <c r="H415" i="1"/>
  <c r="J415" i="1" s="1"/>
  <c r="K415" i="1" s="1"/>
  <c r="L415" i="1" s="1"/>
  <c r="H416" i="1"/>
  <c r="J416" i="1" s="1"/>
  <c r="K416" i="1" s="1"/>
  <c r="L416" i="1" s="1"/>
  <c r="H417" i="1"/>
  <c r="J417" i="1" s="1"/>
  <c r="K417" i="1" s="1"/>
  <c r="L417" i="1" s="1"/>
  <c r="H418" i="1"/>
  <c r="J418" i="1" s="1"/>
  <c r="K418" i="1" s="1"/>
  <c r="L418" i="1" s="1"/>
  <c r="H419" i="1"/>
  <c r="J419" i="1" s="1"/>
  <c r="K419" i="1" s="1"/>
  <c r="L419" i="1" s="1"/>
  <c r="H420" i="1"/>
  <c r="J420" i="1" s="1"/>
  <c r="K420" i="1" s="1"/>
  <c r="L420" i="1" s="1"/>
  <c r="H421" i="1"/>
  <c r="J421" i="1" s="1"/>
  <c r="K421" i="1" s="1"/>
  <c r="L421" i="1" s="1"/>
  <c r="H422" i="1"/>
  <c r="J422" i="1" s="1"/>
  <c r="K422" i="1" s="1"/>
  <c r="L422" i="1" s="1"/>
  <c r="H423" i="1"/>
  <c r="J423" i="1" s="1"/>
  <c r="K423" i="1" s="1"/>
  <c r="L423" i="1" s="1"/>
  <c r="H424" i="1"/>
  <c r="J424" i="1" s="1"/>
  <c r="K424" i="1" s="1"/>
  <c r="L424" i="1" s="1"/>
  <c r="H425" i="1"/>
  <c r="J425" i="1" s="1"/>
  <c r="K425" i="1" s="1"/>
  <c r="L425" i="1" s="1"/>
  <c r="H426" i="1"/>
  <c r="J426" i="1" s="1"/>
  <c r="K426" i="1" s="1"/>
  <c r="L426" i="1" s="1"/>
  <c r="H427" i="1"/>
  <c r="J427" i="1" s="1"/>
  <c r="K427" i="1" s="1"/>
  <c r="L427" i="1" s="1"/>
  <c r="H428" i="1"/>
  <c r="J428" i="1" s="1"/>
  <c r="K428" i="1" s="1"/>
  <c r="L428" i="1" s="1"/>
  <c r="H429" i="1"/>
  <c r="J429" i="1" s="1"/>
  <c r="K429" i="1" s="1"/>
  <c r="L429" i="1" s="1"/>
  <c r="H430" i="1"/>
  <c r="J430" i="1" s="1"/>
  <c r="K430" i="1" s="1"/>
  <c r="L430" i="1" s="1"/>
  <c r="H431" i="1"/>
  <c r="J431" i="1" s="1"/>
  <c r="K431" i="1" s="1"/>
  <c r="L431" i="1" s="1"/>
  <c r="H432" i="1"/>
  <c r="J432" i="1" s="1"/>
  <c r="K432" i="1" s="1"/>
  <c r="L432" i="1" s="1"/>
  <c r="H433" i="1"/>
  <c r="J433" i="1" s="1"/>
  <c r="K433" i="1" s="1"/>
  <c r="L433" i="1" s="1"/>
  <c r="H434" i="1"/>
  <c r="J434" i="1" s="1"/>
  <c r="K434" i="1" s="1"/>
  <c r="L434" i="1" s="1"/>
  <c r="H435" i="1"/>
  <c r="J435" i="1" s="1"/>
  <c r="K435" i="1" s="1"/>
  <c r="L435" i="1" s="1"/>
  <c r="H436" i="1"/>
  <c r="J436" i="1" s="1"/>
  <c r="K436" i="1" s="1"/>
  <c r="L436" i="1" s="1"/>
  <c r="H437" i="1"/>
  <c r="J437" i="1" s="1"/>
  <c r="K437" i="1" s="1"/>
  <c r="L437" i="1" s="1"/>
  <c r="H438" i="1"/>
  <c r="J438" i="1" s="1"/>
  <c r="K438" i="1" s="1"/>
  <c r="L438" i="1" s="1"/>
  <c r="H439" i="1"/>
  <c r="J439" i="1" s="1"/>
  <c r="K439" i="1" s="1"/>
  <c r="L439" i="1" s="1"/>
  <c r="H440" i="1"/>
  <c r="J440" i="1" s="1"/>
  <c r="K440" i="1" s="1"/>
  <c r="L440" i="1" s="1"/>
  <c r="H441" i="1"/>
  <c r="J441" i="1" s="1"/>
  <c r="K441" i="1" s="1"/>
  <c r="L441" i="1" s="1"/>
  <c r="H442" i="1"/>
  <c r="J442" i="1" s="1"/>
  <c r="K442" i="1" s="1"/>
  <c r="L442" i="1" s="1"/>
  <c r="H443" i="1"/>
  <c r="J443" i="1" s="1"/>
  <c r="K443" i="1" s="1"/>
  <c r="L443" i="1" s="1"/>
  <c r="H444" i="1"/>
  <c r="J444" i="1" s="1"/>
  <c r="K444" i="1" s="1"/>
  <c r="L444" i="1" s="1"/>
  <c r="H445" i="1"/>
  <c r="J445" i="1" s="1"/>
  <c r="K445" i="1" s="1"/>
  <c r="L445" i="1" s="1"/>
  <c r="H446" i="1"/>
  <c r="J446" i="1" s="1"/>
  <c r="K446" i="1" s="1"/>
  <c r="L446" i="1" s="1"/>
  <c r="H447" i="1"/>
  <c r="J447" i="1" s="1"/>
  <c r="K447" i="1" s="1"/>
  <c r="L447" i="1" s="1"/>
  <c r="H448" i="1"/>
  <c r="J448" i="1" s="1"/>
  <c r="K448" i="1" s="1"/>
  <c r="L448" i="1" s="1"/>
  <c r="H449" i="1"/>
  <c r="J449" i="1" s="1"/>
  <c r="K449" i="1" s="1"/>
  <c r="L449" i="1" s="1"/>
  <c r="H450" i="1"/>
  <c r="J450" i="1" s="1"/>
  <c r="K450" i="1" s="1"/>
  <c r="L450" i="1" s="1"/>
  <c r="H451" i="1"/>
  <c r="J451" i="1" s="1"/>
  <c r="K451" i="1" s="1"/>
  <c r="L451" i="1" s="1"/>
  <c r="H452" i="1"/>
  <c r="J452" i="1" s="1"/>
  <c r="K452" i="1" s="1"/>
  <c r="L452" i="1" s="1"/>
  <c r="H453" i="1"/>
  <c r="J453" i="1" s="1"/>
  <c r="K453" i="1" s="1"/>
  <c r="L453" i="1" s="1"/>
  <c r="H454" i="1"/>
  <c r="J454" i="1" s="1"/>
  <c r="K454" i="1" s="1"/>
  <c r="L454" i="1" s="1"/>
  <c r="H455" i="1"/>
  <c r="J455" i="1" s="1"/>
  <c r="K455" i="1" s="1"/>
  <c r="L455" i="1" s="1"/>
  <c r="H456" i="1"/>
  <c r="J456" i="1" s="1"/>
  <c r="K456" i="1" s="1"/>
  <c r="L456" i="1" s="1"/>
  <c r="H457" i="1"/>
  <c r="J457" i="1" s="1"/>
  <c r="K457" i="1" s="1"/>
  <c r="L457" i="1" s="1"/>
  <c r="H458" i="1"/>
  <c r="J458" i="1" s="1"/>
  <c r="K458" i="1" s="1"/>
  <c r="L458" i="1" s="1"/>
  <c r="H459" i="1"/>
  <c r="J459" i="1" s="1"/>
  <c r="K459" i="1" s="1"/>
  <c r="L459" i="1" s="1"/>
  <c r="H460" i="1"/>
  <c r="J460" i="1" s="1"/>
  <c r="K460" i="1" s="1"/>
  <c r="L460" i="1" s="1"/>
  <c r="H461" i="1"/>
  <c r="J461" i="1" s="1"/>
  <c r="K461" i="1" s="1"/>
  <c r="L461" i="1" s="1"/>
  <c r="H462" i="1"/>
  <c r="J462" i="1" s="1"/>
  <c r="K462" i="1" s="1"/>
  <c r="L462" i="1" s="1"/>
  <c r="H463" i="1"/>
  <c r="J463" i="1" s="1"/>
  <c r="K463" i="1" s="1"/>
  <c r="L463" i="1" s="1"/>
  <c r="H464" i="1"/>
  <c r="J464" i="1" s="1"/>
  <c r="K464" i="1" s="1"/>
  <c r="L464" i="1" s="1"/>
  <c r="H465" i="1"/>
  <c r="J465" i="1" s="1"/>
  <c r="K465" i="1" s="1"/>
  <c r="L465" i="1" s="1"/>
  <c r="H466" i="1"/>
  <c r="J466" i="1" s="1"/>
  <c r="K466" i="1" s="1"/>
  <c r="L466" i="1" s="1"/>
  <c r="H467" i="1"/>
  <c r="J467" i="1" s="1"/>
  <c r="K467" i="1" s="1"/>
  <c r="L467" i="1" s="1"/>
  <c r="H468" i="1"/>
  <c r="J468" i="1" s="1"/>
  <c r="K468" i="1" s="1"/>
  <c r="L468" i="1" s="1"/>
  <c r="H469" i="1"/>
  <c r="J469" i="1" s="1"/>
  <c r="K469" i="1" s="1"/>
  <c r="L469" i="1" s="1"/>
  <c r="H470" i="1"/>
  <c r="J470" i="1" s="1"/>
  <c r="K470" i="1" s="1"/>
  <c r="L470" i="1" s="1"/>
  <c r="H471" i="1"/>
  <c r="J471" i="1" s="1"/>
  <c r="K471" i="1" s="1"/>
  <c r="L471" i="1" s="1"/>
  <c r="H472" i="1"/>
  <c r="J472" i="1" s="1"/>
  <c r="K472" i="1" s="1"/>
  <c r="L472" i="1" s="1"/>
  <c r="H473" i="1"/>
  <c r="J473" i="1" s="1"/>
  <c r="K473" i="1" s="1"/>
  <c r="L473" i="1" s="1"/>
  <c r="H474" i="1"/>
  <c r="J474" i="1" s="1"/>
  <c r="K474" i="1" s="1"/>
  <c r="L474" i="1" s="1"/>
  <c r="H475" i="1"/>
  <c r="J475" i="1" s="1"/>
  <c r="K475" i="1" s="1"/>
  <c r="L475" i="1" s="1"/>
  <c r="H476" i="1"/>
  <c r="J476" i="1" s="1"/>
  <c r="K476" i="1" s="1"/>
  <c r="L476" i="1" s="1"/>
  <c r="H477" i="1"/>
  <c r="J477" i="1" s="1"/>
  <c r="K477" i="1" s="1"/>
  <c r="L477" i="1" s="1"/>
  <c r="H478" i="1"/>
  <c r="J478" i="1" s="1"/>
  <c r="K478" i="1" s="1"/>
  <c r="L478" i="1" s="1"/>
  <c r="H479" i="1"/>
  <c r="J479" i="1" s="1"/>
  <c r="K479" i="1" s="1"/>
  <c r="L479" i="1" s="1"/>
  <c r="H480" i="1"/>
  <c r="J480" i="1" s="1"/>
  <c r="K480" i="1" s="1"/>
  <c r="L480" i="1" s="1"/>
  <c r="H481" i="1"/>
  <c r="J481" i="1" s="1"/>
  <c r="K481" i="1" s="1"/>
  <c r="L481" i="1" s="1"/>
  <c r="H482" i="1"/>
  <c r="J482" i="1" s="1"/>
  <c r="K482" i="1" s="1"/>
  <c r="L482" i="1" s="1"/>
  <c r="H483" i="1"/>
  <c r="J483" i="1" s="1"/>
  <c r="K483" i="1" s="1"/>
  <c r="L483" i="1" s="1"/>
  <c r="H484" i="1"/>
  <c r="J484" i="1" s="1"/>
  <c r="K484" i="1" s="1"/>
  <c r="L484" i="1" s="1"/>
  <c r="H485" i="1"/>
  <c r="J485" i="1" s="1"/>
  <c r="K485" i="1" s="1"/>
  <c r="L485" i="1" s="1"/>
  <c r="H486" i="1"/>
  <c r="J486" i="1" s="1"/>
  <c r="K486" i="1" s="1"/>
  <c r="L486" i="1" s="1"/>
  <c r="H487" i="1"/>
  <c r="J487" i="1" s="1"/>
  <c r="K487" i="1" s="1"/>
  <c r="L487" i="1" s="1"/>
  <c r="H488" i="1"/>
  <c r="J488" i="1" s="1"/>
  <c r="K488" i="1" s="1"/>
  <c r="L488" i="1" s="1"/>
  <c r="H489" i="1"/>
  <c r="J489" i="1" s="1"/>
  <c r="K489" i="1" s="1"/>
  <c r="L489" i="1" s="1"/>
  <c r="H490" i="1"/>
  <c r="J490" i="1" s="1"/>
  <c r="K490" i="1" s="1"/>
  <c r="L490" i="1" s="1"/>
  <c r="H491" i="1"/>
  <c r="J491" i="1" s="1"/>
  <c r="K491" i="1" s="1"/>
  <c r="L491" i="1" s="1"/>
  <c r="H492" i="1"/>
  <c r="J492" i="1" s="1"/>
  <c r="K492" i="1" s="1"/>
  <c r="L492" i="1" s="1"/>
  <c r="H493" i="1"/>
  <c r="J493" i="1" s="1"/>
  <c r="K493" i="1" s="1"/>
  <c r="L493" i="1" s="1"/>
  <c r="H494" i="1"/>
  <c r="J494" i="1" s="1"/>
  <c r="K494" i="1" s="1"/>
  <c r="L494" i="1" s="1"/>
  <c r="H495" i="1"/>
  <c r="J495" i="1" s="1"/>
  <c r="K495" i="1" s="1"/>
  <c r="L495" i="1" s="1"/>
  <c r="H496" i="1"/>
  <c r="J496" i="1" s="1"/>
  <c r="K496" i="1" s="1"/>
  <c r="L496" i="1" s="1"/>
  <c r="H497" i="1"/>
  <c r="J497" i="1" s="1"/>
  <c r="K497" i="1" s="1"/>
  <c r="L497" i="1" s="1"/>
  <c r="H498" i="1"/>
  <c r="J498" i="1" s="1"/>
  <c r="K498" i="1" s="1"/>
  <c r="L498" i="1" s="1"/>
  <c r="H499" i="1"/>
  <c r="J499" i="1" s="1"/>
  <c r="K499" i="1" s="1"/>
  <c r="L499" i="1" s="1"/>
  <c r="H500" i="1"/>
  <c r="J500" i="1" s="1"/>
  <c r="K500" i="1" s="1"/>
  <c r="L500" i="1" s="1"/>
  <c r="H501" i="1"/>
  <c r="J501" i="1" s="1"/>
  <c r="K501" i="1" s="1"/>
  <c r="L501" i="1" s="1"/>
  <c r="H502" i="1"/>
  <c r="J502" i="1" s="1"/>
  <c r="K502" i="1" s="1"/>
  <c r="L502" i="1" s="1"/>
  <c r="H503" i="1"/>
  <c r="J503" i="1" s="1"/>
  <c r="K503" i="1" s="1"/>
  <c r="L503" i="1" s="1"/>
  <c r="H504" i="1"/>
  <c r="J504" i="1" s="1"/>
  <c r="K504" i="1" s="1"/>
  <c r="L504" i="1" s="1"/>
  <c r="H505" i="1"/>
  <c r="J505" i="1" s="1"/>
  <c r="K505" i="1" s="1"/>
  <c r="L505" i="1" s="1"/>
  <c r="H506" i="1"/>
  <c r="J506" i="1" s="1"/>
  <c r="K506" i="1" s="1"/>
  <c r="L506" i="1" s="1"/>
  <c r="H507" i="1"/>
  <c r="J507" i="1" s="1"/>
  <c r="K507" i="1" s="1"/>
  <c r="L507" i="1" s="1"/>
  <c r="H508" i="1"/>
  <c r="J508" i="1" s="1"/>
  <c r="K508" i="1" s="1"/>
  <c r="L508" i="1" s="1"/>
  <c r="H509" i="1"/>
  <c r="J509" i="1" s="1"/>
  <c r="K509" i="1" s="1"/>
  <c r="L509" i="1" s="1"/>
  <c r="H510" i="1"/>
  <c r="J510" i="1" s="1"/>
  <c r="K510" i="1" s="1"/>
  <c r="L510" i="1" s="1"/>
  <c r="H511" i="1"/>
  <c r="J511" i="1" s="1"/>
  <c r="K511" i="1" s="1"/>
  <c r="L511" i="1" s="1"/>
  <c r="H512" i="1"/>
  <c r="J512" i="1" s="1"/>
  <c r="K512" i="1" s="1"/>
  <c r="L512" i="1" s="1"/>
  <c r="H513" i="1"/>
  <c r="J513" i="1" s="1"/>
  <c r="K513" i="1" s="1"/>
  <c r="L513" i="1" s="1"/>
  <c r="H514" i="1"/>
  <c r="J514" i="1" s="1"/>
  <c r="K514" i="1" s="1"/>
  <c r="L514" i="1" s="1"/>
  <c r="H515" i="1"/>
  <c r="J515" i="1" s="1"/>
  <c r="K515" i="1" s="1"/>
  <c r="L515" i="1" s="1"/>
  <c r="H516" i="1"/>
  <c r="J516" i="1" s="1"/>
  <c r="K516" i="1" s="1"/>
  <c r="L516" i="1" s="1"/>
  <c r="H517" i="1"/>
  <c r="J517" i="1" s="1"/>
  <c r="K517" i="1" s="1"/>
  <c r="L517" i="1" s="1"/>
  <c r="H518" i="1"/>
  <c r="J518" i="1" s="1"/>
  <c r="K518" i="1" s="1"/>
  <c r="L518" i="1" s="1"/>
  <c r="H519" i="1"/>
  <c r="J519" i="1" s="1"/>
  <c r="K519" i="1" s="1"/>
  <c r="L519" i="1" s="1"/>
  <c r="H520" i="1"/>
  <c r="J520" i="1" s="1"/>
  <c r="K520" i="1" s="1"/>
  <c r="L520" i="1" s="1"/>
  <c r="H521" i="1"/>
  <c r="J521" i="1" s="1"/>
  <c r="K521" i="1" s="1"/>
  <c r="L521" i="1" s="1"/>
  <c r="H522" i="1"/>
  <c r="J522" i="1" s="1"/>
  <c r="K522" i="1" s="1"/>
  <c r="L522" i="1" s="1"/>
  <c r="H523" i="1"/>
  <c r="J523" i="1" s="1"/>
  <c r="K523" i="1" s="1"/>
  <c r="L523" i="1" s="1"/>
  <c r="H524" i="1"/>
  <c r="J524" i="1" s="1"/>
  <c r="K524" i="1" s="1"/>
  <c r="L524" i="1" s="1"/>
  <c r="H525" i="1"/>
  <c r="J525" i="1" s="1"/>
  <c r="K525" i="1" s="1"/>
  <c r="L525" i="1" s="1"/>
  <c r="H526" i="1"/>
  <c r="J526" i="1" s="1"/>
  <c r="K526" i="1" s="1"/>
  <c r="L526" i="1" s="1"/>
  <c r="H527" i="1"/>
  <c r="J527" i="1" s="1"/>
  <c r="K527" i="1" s="1"/>
  <c r="L527" i="1" s="1"/>
  <c r="H528" i="1"/>
  <c r="J528" i="1" s="1"/>
  <c r="K528" i="1" s="1"/>
  <c r="L528" i="1" s="1"/>
  <c r="H529" i="1"/>
  <c r="J529" i="1" s="1"/>
  <c r="K529" i="1" s="1"/>
  <c r="L529" i="1" s="1"/>
  <c r="H530" i="1"/>
  <c r="J530" i="1" s="1"/>
  <c r="K530" i="1" s="1"/>
  <c r="L530" i="1" s="1"/>
  <c r="H531" i="1"/>
  <c r="J531" i="1" s="1"/>
  <c r="K531" i="1" s="1"/>
  <c r="L531" i="1" s="1"/>
  <c r="H532" i="1"/>
  <c r="J532" i="1" s="1"/>
  <c r="K532" i="1" s="1"/>
  <c r="L532" i="1" s="1"/>
  <c r="H533" i="1"/>
  <c r="J533" i="1" s="1"/>
  <c r="K533" i="1" s="1"/>
  <c r="L533" i="1" s="1"/>
  <c r="H534" i="1"/>
  <c r="J534" i="1" s="1"/>
  <c r="K534" i="1" s="1"/>
  <c r="L534" i="1" s="1"/>
  <c r="H535" i="1"/>
  <c r="J535" i="1" s="1"/>
  <c r="K535" i="1" s="1"/>
  <c r="L535" i="1" s="1"/>
  <c r="H536" i="1"/>
  <c r="J536" i="1" s="1"/>
  <c r="K536" i="1" s="1"/>
  <c r="L536" i="1" s="1"/>
  <c r="H537" i="1"/>
  <c r="J537" i="1" s="1"/>
  <c r="K537" i="1" s="1"/>
  <c r="L537" i="1" s="1"/>
  <c r="H538" i="1"/>
  <c r="J538" i="1" s="1"/>
  <c r="K538" i="1" s="1"/>
  <c r="L538" i="1" s="1"/>
  <c r="H539" i="1"/>
  <c r="J539" i="1" s="1"/>
  <c r="K539" i="1" s="1"/>
  <c r="L539" i="1" s="1"/>
  <c r="H540" i="1"/>
  <c r="J540" i="1" s="1"/>
  <c r="K540" i="1" s="1"/>
  <c r="L540" i="1" s="1"/>
  <c r="H541" i="1"/>
  <c r="J541" i="1" s="1"/>
  <c r="K541" i="1" s="1"/>
  <c r="L541" i="1" s="1"/>
  <c r="H542" i="1"/>
  <c r="J542" i="1" s="1"/>
  <c r="K542" i="1" s="1"/>
  <c r="L542" i="1" s="1"/>
  <c r="H543" i="1"/>
  <c r="J543" i="1" s="1"/>
  <c r="K543" i="1" s="1"/>
  <c r="L543" i="1" s="1"/>
  <c r="H544" i="1"/>
  <c r="J544" i="1" s="1"/>
  <c r="K544" i="1" s="1"/>
  <c r="L544" i="1" s="1"/>
  <c r="H545" i="1"/>
  <c r="J545" i="1" s="1"/>
  <c r="K545" i="1" s="1"/>
  <c r="L545" i="1" s="1"/>
  <c r="H546" i="1"/>
  <c r="J546" i="1" s="1"/>
  <c r="K546" i="1" s="1"/>
  <c r="L546" i="1" s="1"/>
  <c r="H547" i="1"/>
  <c r="J547" i="1" s="1"/>
  <c r="K547" i="1" s="1"/>
  <c r="L547" i="1" s="1"/>
  <c r="H548" i="1"/>
  <c r="J548" i="1" s="1"/>
  <c r="K548" i="1" s="1"/>
  <c r="L548" i="1" s="1"/>
  <c r="H549" i="1"/>
  <c r="J549" i="1" s="1"/>
  <c r="K549" i="1" s="1"/>
  <c r="L549" i="1" s="1"/>
  <c r="H550" i="1"/>
  <c r="J550" i="1" s="1"/>
  <c r="K550" i="1" s="1"/>
  <c r="L550" i="1" s="1"/>
  <c r="H551" i="1"/>
  <c r="J551" i="1" s="1"/>
  <c r="K551" i="1" s="1"/>
  <c r="L551" i="1" s="1"/>
  <c r="H552" i="1"/>
  <c r="J552" i="1" s="1"/>
  <c r="K552" i="1" s="1"/>
  <c r="L552" i="1" s="1"/>
  <c r="H553" i="1"/>
  <c r="J553" i="1" s="1"/>
  <c r="K553" i="1" s="1"/>
  <c r="L553" i="1" s="1"/>
  <c r="H554" i="1"/>
  <c r="J554" i="1" s="1"/>
  <c r="K554" i="1" s="1"/>
  <c r="L554" i="1" s="1"/>
  <c r="H555" i="1"/>
  <c r="J555" i="1" s="1"/>
  <c r="K555" i="1" s="1"/>
  <c r="L555" i="1" s="1"/>
  <c r="H556" i="1"/>
  <c r="J556" i="1" s="1"/>
  <c r="K556" i="1" s="1"/>
  <c r="L556" i="1" s="1"/>
  <c r="H557" i="1"/>
  <c r="J557" i="1" s="1"/>
  <c r="K557" i="1" s="1"/>
  <c r="L557" i="1" s="1"/>
  <c r="H558" i="1"/>
  <c r="J558" i="1" s="1"/>
  <c r="K558" i="1" s="1"/>
  <c r="L558" i="1" s="1"/>
  <c r="H559" i="1"/>
  <c r="J559" i="1" s="1"/>
  <c r="K559" i="1" s="1"/>
  <c r="L559" i="1" s="1"/>
  <c r="H560" i="1"/>
  <c r="J560" i="1" s="1"/>
  <c r="K560" i="1" s="1"/>
  <c r="L560" i="1" s="1"/>
  <c r="H561" i="1"/>
  <c r="J561" i="1" s="1"/>
  <c r="K561" i="1" s="1"/>
  <c r="L561" i="1" s="1"/>
  <c r="H562" i="1"/>
  <c r="J562" i="1" s="1"/>
  <c r="K562" i="1" s="1"/>
  <c r="L562" i="1" s="1"/>
  <c r="H563" i="1"/>
  <c r="J563" i="1" s="1"/>
  <c r="K563" i="1" s="1"/>
  <c r="L563" i="1" s="1"/>
  <c r="H564" i="1"/>
  <c r="J564" i="1" s="1"/>
  <c r="K564" i="1" s="1"/>
  <c r="L564" i="1" s="1"/>
  <c r="H565" i="1"/>
  <c r="J565" i="1" s="1"/>
  <c r="K565" i="1" s="1"/>
  <c r="L565" i="1" s="1"/>
  <c r="H566" i="1"/>
  <c r="J566" i="1" s="1"/>
  <c r="K566" i="1" s="1"/>
  <c r="L566" i="1" s="1"/>
  <c r="H567" i="1"/>
  <c r="J567" i="1" s="1"/>
  <c r="K567" i="1" s="1"/>
  <c r="L567" i="1" s="1"/>
  <c r="H568" i="1"/>
  <c r="J568" i="1" s="1"/>
  <c r="K568" i="1" s="1"/>
  <c r="L568" i="1" s="1"/>
  <c r="H569" i="1"/>
  <c r="J569" i="1" s="1"/>
  <c r="K569" i="1" s="1"/>
  <c r="L569" i="1" s="1"/>
  <c r="H570" i="1"/>
  <c r="J570" i="1" s="1"/>
  <c r="K570" i="1" s="1"/>
  <c r="L570" i="1" s="1"/>
  <c r="H571" i="1"/>
  <c r="J571" i="1" s="1"/>
  <c r="K571" i="1" s="1"/>
  <c r="L571" i="1" s="1"/>
  <c r="H572" i="1"/>
  <c r="J572" i="1" s="1"/>
  <c r="K572" i="1" s="1"/>
  <c r="L572" i="1" s="1"/>
  <c r="H573" i="1"/>
  <c r="J573" i="1" s="1"/>
  <c r="K573" i="1" s="1"/>
  <c r="L573" i="1" s="1"/>
  <c r="H574" i="1"/>
  <c r="J574" i="1" s="1"/>
  <c r="K574" i="1" s="1"/>
  <c r="L574" i="1" s="1"/>
  <c r="H575" i="1"/>
  <c r="J575" i="1" s="1"/>
  <c r="K575" i="1" s="1"/>
  <c r="L575" i="1" s="1"/>
  <c r="H576" i="1"/>
  <c r="J576" i="1" s="1"/>
  <c r="K576" i="1" s="1"/>
  <c r="L576" i="1" s="1"/>
  <c r="H577" i="1"/>
  <c r="J577" i="1" s="1"/>
  <c r="K577" i="1" s="1"/>
  <c r="L577" i="1" s="1"/>
  <c r="H578" i="1"/>
  <c r="J578" i="1" s="1"/>
  <c r="K578" i="1" s="1"/>
  <c r="L578" i="1" s="1"/>
  <c r="H579" i="1"/>
  <c r="J579" i="1" s="1"/>
  <c r="K579" i="1" s="1"/>
  <c r="L579" i="1" s="1"/>
  <c r="H580" i="1"/>
  <c r="J580" i="1" s="1"/>
  <c r="K580" i="1" s="1"/>
  <c r="L580" i="1" s="1"/>
  <c r="H581" i="1"/>
  <c r="J581" i="1" s="1"/>
  <c r="K581" i="1" s="1"/>
  <c r="L581" i="1" s="1"/>
  <c r="H582" i="1"/>
  <c r="J582" i="1" s="1"/>
  <c r="K582" i="1" s="1"/>
  <c r="L582" i="1" s="1"/>
  <c r="H583" i="1"/>
  <c r="J583" i="1" s="1"/>
  <c r="K583" i="1" s="1"/>
  <c r="L583" i="1" s="1"/>
  <c r="H584" i="1"/>
  <c r="J584" i="1" s="1"/>
  <c r="K584" i="1" s="1"/>
  <c r="L584" i="1" s="1"/>
  <c r="H585" i="1"/>
  <c r="J585" i="1" s="1"/>
  <c r="K585" i="1" s="1"/>
  <c r="L585" i="1" s="1"/>
  <c r="H586" i="1"/>
  <c r="J586" i="1" s="1"/>
  <c r="K586" i="1" s="1"/>
  <c r="L586" i="1" s="1"/>
  <c r="H587" i="1"/>
  <c r="J587" i="1" s="1"/>
  <c r="K587" i="1" s="1"/>
  <c r="L587" i="1" s="1"/>
  <c r="H588" i="1"/>
  <c r="J588" i="1" s="1"/>
  <c r="K588" i="1" s="1"/>
  <c r="L588" i="1" s="1"/>
  <c r="H589" i="1"/>
  <c r="J589" i="1" s="1"/>
  <c r="K589" i="1" s="1"/>
  <c r="L589" i="1" s="1"/>
  <c r="H590" i="1"/>
  <c r="J590" i="1" s="1"/>
  <c r="K590" i="1" s="1"/>
  <c r="L590" i="1" s="1"/>
  <c r="H591" i="1"/>
  <c r="J591" i="1" s="1"/>
  <c r="K591" i="1" s="1"/>
  <c r="L591" i="1" s="1"/>
  <c r="H592" i="1"/>
  <c r="J592" i="1" s="1"/>
  <c r="K592" i="1" s="1"/>
  <c r="L592" i="1" s="1"/>
  <c r="H593" i="1"/>
  <c r="J593" i="1" s="1"/>
  <c r="K593" i="1" s="1"/>
  <c r="L593" i="1" s="1"/>
  <c r="H594" i="1"/>
  <c r="J594" i="1" s="1"/>
  <c r="K594" i="1" s="1"/>
  <c r="L594" i="1" s="1"/>
  <c r="H595" i="1"/>
  <c r="J595" i="1" s="1"/>
  <c r="K595" i="1" s="1"/>
  <c r="L595" i="1" s="1"/>
  <c r="H596" i="1"/>
  <c r="J596" i="1" s="1"/>
  <c r="K596" i="1" s="1"/>
  <c r="L596" i="1" s="1"/>
  <c r="H597" i="1"/>
  <c r="J597" i="1" s="1"/>
  <c r="K597" i="1" s="1"/>
  <c r="L597" i="1" s="1"/>
  <c r="H598" i="1"/>
  <c r="J598" i="1" s="1"/>
  <c r="K598" i="1" s="1"/>
  <c r="L598" i="1" s="1"/>
  <c r="H599" i="1"/>
  <c r="J599" i="1" s="1"/>
  <c r="K599" i="1" s="1"/>
  <c r="L599" i="1" s="1"/>
  <c r="H600" i="1"/>
  <c r="J600" i="1" s="1"/>
  <c r="K600" i="1" s="1"/>
  <c r="L600" i="1" s="1"/>
  <c r="H601" i="1"/>
  <c r="J601" i="1" s="1"/>
  <c r="K601" i="1" s="1"/>
  <c r="L601" i="1" s="1"/>
  <c r="H602" i="1"/>
  <c r="J602" i="1" s="1"/>
  <c r="K602" i="1" s="1"/>
  <c r="L602" i="1" s="1"/>
  <c r="H603" i="1"/>
  <c r="J603" i="1" s="1"/>
  <c r="K603" i="1" s="1"/>
  <c r="L603" i="1" s="1"/>
  <c r="H604" i="1"/>
  <c r="J604" i="1" s="1"/>
  <c r="K604" i="1" s="1"/>
  <c r="L604" i="1" s="1"/>
  <c r="H605" i="1"/>
  <c r="J605" i="1" s="1"/>
  <c r="K605" i="1" s="1"/>
  <c r="L605" i="1" s="1"/>
  <c r="H606" i="1"/>
  <c r="J606" i="1" s="1"/>
  <c r="K606" i="1" s="1"/>
  <c r="L606" i="1" s="1"/>
  <c r="H607" i="1"/>
  <c r="J607" i="1" s="1"/>
  <c r="K607" i="1" s="1"/>
  <c r="L607" i="1" s="1"/>
  <c r="H608" i="1"/>
  <c r="J608" i="1" s="1"/>
  <c r="K608" i="1" s="1"/>
  <c r="L608" i="1" s="1"/>
  <c r="H609" i="1"/>
  <c r="J609" i="1" s="1"/>
  <c r="K609" i="1" s="1"/>
  <c r="L609" i="1" s="1"/>
  <c r="H610" i="1"/>
  <c r="J610" i="1" s="1"/>
  <c r="K610" i="1" s="1"/>
  <c r="L610" i="1" s="1"/>
  <c r="H611" i="1"/>
  <c r="J611" i="1" s="1"/>
  <c r="K611" i="1" s="1"/>
  <c r="L611" i="1" s="1"/>
  <c r="H612" i="1"/>
  <c r="J612" i="1" s="1"/>
  <c r="K612" i="1" s="1"/>
  <c r="L612" i="1" s="1"/>
  <c r="H613" i="1"/>
  <c r="J613" i="1" s="1"/>
  <c r="K613" i="1" s="1"/>
  <c r="L613" i="1" s="1"/>
  <c r="H614" i="1"/>
  <c r="J614" i="1" s="1"/>
  <c r="K614" i="1" s="1"/>
  <c r="L614" i="1" s="1"/>
  <c r="H615" i="1"/>
  <c r="J615" i="1" s="1"/>
  <c r="K615" i="1" s="1"/>
  <c r="L615" i="1" s="1"/>
  <c r="H616" i="1"/>
  <c r="J616" i="1" s="1"/>
  <c r="K616" i="1" s="1"/>
  <c r="L616" i="1" s="1"/>
  <c r="H617" i="1"/>
  <c r="J617" i="1" s="1"/>
  <c r="K617" i="1" s="1"/>
  <c r="L617" i="1" s="1"/>
  <c r="H618" i="1"/>
  <c r="J618" i="1" s="1"/>
  <c r="K618" i="1" s="1"/>
  <c r="L618" i="1" s="1"/>
  <c r="H619" i="1"/>
  <c r="J619" i="1" s="1"/>
  <c r="K619" i="1" s="1"/>
  <c r="L619" i="1" s="1"/>
  <c r="H620" i="1"/>
  <c r="J620" i="1" s="1"/>
  <c r="K620" i="1" s="1"/>
  <c r="L620" i="1" s="1"/>
  <c r="H621" i="1"/>
  <c r="J621" i="1" s="1"/>
  <c r="K621" i="1" s="1"/>
  <c r="L621" i="1" s="1"/>
  <c r="H622" i="1"/>
  <c r="J622" i="1" s="1"/>
  <c r="K622" i="1" s="1"/>
  <c r="L622" i="1" s="1"/>
  <c r="H623" i="1"/>
  <c r="J623" i="1" s="1"/>
  <c r="K623" i="1" s="1"/>
  <c r="L623" i="1" s="1"/>
  <c r="H624" i="1"/>
  <c r="J624" i="1" s="1"/>
  <c r="K624" i="1" s="1"/>
  <c r="L624" i="1" s="1"/>
  <c r="H625" i="1"/>
  <c r="J625" i="1" s="1"/>
  <c r="K625" i="1" s="1"/>
  <c r="L625" i="1" s="1"/>
  <c r="H626" i="1"/>
  <c r="J626" i="1" s="1"/>
  <c r="K626" i="1" s="1"/>
  <c r="L626" i="1" s="1"/>
  <c r="H627" i="1"/>
  <c r="J627" i="1" s="1"/>
  <c r="K627" i="1" s="1"/>
  <c r="L627" i="1" s="1"/>
  <c r="H628" i="1"/>
  <c r="J628" i="1" s="1"/>
  <c r="K628" i="1" s="1"/>
  <c r="L628" i="1" s="1"/>
  <c r="H629" i="1"/>
  <c r="J629" i="1" s="1"/>
  <c r="K629" i="1" s="1"/>
  <c r="L629" i="1" s="1"/>
  <c r="H630" i="1"/>
  <c r="J630" i="1" s="1"/>
  <c r="K630" i="1" s="1"/>
  <c r="L630" i="1" s="1"/>
  <c r="H631" i="1"/>
  <c r="J631" i="1" s="1"/>
  <c r="K631" i="1" s="1"/>
  <c r="L631" i="1" s="1"/>
  <c r="H632" i="1"/>
  <c r="J632" i="1" s="1"/>
  <c r="K632" i="1" s="1"/>
  <c r="L632" i="1" s="1"/>
  <c r="H633" i="1"/>
  <c r="J633" i="1" s="1"/>
  <c r="K633" i="1" s="1"/>
  <c r="L633" i="1" s="1"/>
  <c r="H634" i="1"/>
  <c r="J634" i="1" s="1"/>
  <c r="K634" i="1" s="1"/>
  <c r="L634" i="1" s="1"/>
  <c r="H635" i="1"/>
  <c r="J635" i="1" s="1"/>
  <c r="K635" i="1" s="1"/>
  <c r="L635" i="1" s="1"/>
  <c r="H636" i="1"/>
  <c r="J636" i="1" s="1"/>
  <c r="K636" i="1" s="1"/>
  <c r="L636" i="1" s="1"/>
  <c r="H637" i="1"/>
  <c r="J637" i="1" s="1"/>
  <c r="K637" i="1" s="1"/>
  <c r="L637" i="1" s="1"/>
  <c r="H638" i="1"/>
  <c r="J638" i="1" s="1"/>
  <c r="K638" i="1" s="1"/>
  <c r="L638" i="1" s="1"/>
  <c r="H639" i="1"/>
  <c r="J639" i="1" s="1"/>
  <c r="K639" i="1" s="1"/>
  <c r="L639" i="1" s="1"/>
  <c r="H640" i="1"/>
  <c r="J640" i="1" s="1"/>
  <c r="K640" i="1" s="1"/>
  <c r="L640" i="1" s="1"/>
  <c r="H641" i="1"/>
  <c r="J641" i="1" s="1"/>
  <c r="K641" i="1" s="1"/>
  <c r="L641" i="1" s="1"/>
  <c r="H642" i="1"/>
  <c r="J642" i="1" s="1"/>
  <c r="K642" i="1" s="1"/>
  <c r="L642" i="1" s="1"/>
  <c r="H643" i="1"/>
  <c r="J643" i="1" s="1"/>
  <c r="K643" i="1" s="1"/>
  <c r="L643" i="1" s="1"/>
  <c r="H644" i="1"/>
  <c r="J644" i="1" s="1"/>
  <c r="K644" i="1" s="1"/>
  <c r="L644" i="1" s="1"/>
  <c r="H645" i="1"/>
  <c r="J645" i="1" s="1"/>
  <c r="K645" i="1" s="1"/>
  <c r="L645" i="1" s="1"/>
  <c r="H646" i="1"/>
  <c r="J646" i="1" s="1"/>
  <c r="K646" i="1" s="1"/>
  <c r="L646" i="1" s="1"/>
  <c r="H647" i="1"/>
  <c r="J647" i="1" s="1"/>
  <c r="K647" i="1" s="1"/>
  <c r="L647" i="1" s="1"/>
  <c r="H648" i="1"/>
  <c r="J648" i="1" s="1"/>
  <c r="K648" i="1" s="1"/>
  <c r="L648" i="1" s="1"/>
  <c r="H649" i="1"/>
  <c r="J649" i="1" s="1"/>
  <c r="K649" i="1" s="1"/>
  <c r="L649" i="1" s="1"/>
  <c r="H650" i="1"/>
  <c r="J650" i="1" s="1"/>
  <c r="K650" i="1" s="1"/>
  <c r="L650" i="1" s="1"/>
  <c r="H651" i="1"/>
  <c r="J651" i="1" s="1"/>
  <c r="K651" i="1" s="1"/>
  <c r="L651" i="1" s="1"/>
  <c r="H652" i="1"/>
  <c r="J652" i="1" s="1"/>
  <c r="K652" i="1" s="1"/>
  <c r="L652" i="1" s="1"/>
  <c r="H653" i="1"/>
  <c r="J653" i="1" s="1"/>
  <c r="K653" i="1" s="1"/>
  <c r="L653" i="1" s="1"/>
  <c r="H654" i="1"/>
  <c r="J654" i="1" s="1"/>
  <c r="K654" i="1" s="1"/>
  <c r="L654" i="1" s="1"/>
  <c r="H655" i="1"/>
  <c r="J655" i="1" s="1"/>
  <c r="K655" i="1" s="1"/>
  <c r="L655" i="1" s="1"/>
  <c r="H656" i="1"/>
  <c r="J656" i="1" s="1"/>
  <c r="K656" i="1" s="1"/>
  <c r="L656" i="1" s="1"/>
  <c r="H657" i="1"/>
  <c r="J657" i="1" s="1"/>
  <c r="K657" i="1" s="1"/>
  <c r="L657" i="1" s="1"/>
  <c r="H658" i="1"/>
  <c r="J658" i="1" s="1"/>
  <c r="K658" i="1" s="1"/>
  <c r="L658" i="1" s="1"/>
  <c r="H659" i="1"/>
  <c r="J659" i="1" s="1"/>
  <c r="K659" i="1" s="1"/>
  <c r="L659" i="1" s="1"/>
  <c r="H660" i="1"/>
  <c r="J660" i="1" s="1"/>
  <c r="K660" i="1" s="1"/>
  <c r="L660" i="1" s="1"/>
  <c r="H661" i="1"/>
  <c r="J661" i="1" s="1"/>
  <c r="K661" i="1" s="1"/>
  <c r="L661" i="1" s="1"/>
  <c r="H662" i="1"/>
  <c r="J662" i="1" s="1"/>
  <c r="K662" i="1" s="1"/>
  <c r="L662" i="1" s="1"/>
  <c r="H663" i="1"/>
  <c r="J663" i="1" s="1"/>
  <c r="K663" i="1" s="1"/>
  <c r="L663" i="1" s="1"/>
  <c r="H664" i="1"/>
  <c r="J664" i="1" s="1"/>
  <c r="K664" i="1" s="1"/>
  <c r="L664" i="1" s="1"/>
  <c r="H665" i="1"/>
  <c r="J665" i="1" s="1"/>
  <c r="K665" i="1" s="1"/>
  <c r="L665" i="1" s="1"/>
  <c r="H666" i="1"/>
  <c r="J666" i="1" s="1"/>
  <c r="K666" i="1" s="1"/>
  <c r="L666" i="1" s="1"/>
  <c r="H667" i="1"/>
  <c r="J667" i="1" s="1"/>
  <c r="K667" i="1" s="1"/>
  <c r="L667" i="1" s="1"/>
  <c r="H668" i="1"/>
  <c r="J668" i="1" s="1"/>
  <c r="K668" i="1" s="1"/>
  <c r="L668" i="1" s="1"/>
  <c r="H669" i="1"/>
  <c r="J669" i="1" s="1"/>
  <c r="K669" i="1" s="1"/>
  <c r="L669" i="1" s="1"/>
  <c r="H670" i="1"/>
  <c r="J670" i="1" s="1"/>
  <c r="K670" i="1" s="1"/>
  <c r="L670" i="1" s="1"/>
  <c r="H671" i="1"/>
  <c r="J671" i="1" s="1"/>
  <c r="K671" i="1" s="1"/>
  <c r="L671" i="1" s="1"/>
  <c r="H672" i="1"/>
  <c r="J672" i="1" s="1"/>
  <c r="K672" i="1" s="1"/>
  <c r="L672" i="1" s="1"/>
  <c r="H673" i="1"/>
  <c r="J673" i="1" s="1"/>
  <c r="K673" i="1" s="1"/>
  <c r="L673" i="1" s="1"/>
  <c r="H674" i="1"/>
  <c r="J674" i="1" s="1"/>
  <c r="K674" i="1" s="1"/>
  <c r="L674" i="1" s="1"/>
  <c r="H675" i="1"/>
  <c r="J675" i="1" s="1"/>
  <c r="K675" i="1" s="1"/>
  <c r="L675" i="1" s="1"/>
  <c r="H676" i="1"/>
  <c r="J676" i="1" s="1"/>
  <c r="K676" i="1" s="1"/>
  <c r="L676" i="1" s="1"/>
  <c r="H677" i="1"/>
  <c r="J677" i="1" s="1"/>
  <c r="K677" i="1" s="1"/>
  <c r="L677" i="1" s="1"/>
  <c r="H678" i="1"/>
  <c r="J678" i="1" s="1"/>
  <c r="K678" i="1" s="1"/>
  <c r="L678" i="1" s="1"/>
  <c r="H679" i="1"/>
  <c r="J679" i="1" s="1"/>
  <c r="K679" i="1" s="1"/>
  <c r="L679" i="1" s="1"/>
  <c r="H680" i="1"/>
  <c r="J680" i="1" s="1"/>
  <c r="K680" i="1" s="1"/>
  <c r="L680" i="1" s="1"/>
  <c r="H681" i="1"/>
  <c r="J681" i="1" s="1"/>
  <c r="K681" i="1" s="1"/>
  <c r="L681" i="1" s="1"/>
  <c r="H682" i="1"/>
  <c r="J682" i="1" s="1"/>
  <c r="K682" i="1" s="1"/>
  <c r="L682" i="1" s="1"/>
  <c r="H683" i="1"/>
  <c r="J683" i="1" s="1"/>
  <c r="K683" i="1" s="1"/>
  <c r="L683" i="1" s="1"/>
  <c r="H684" i="1"/>
  <c r="J684" i="1" s="1"/>
  <c r="K684" i="1" s="1"/>
  <c r="L684" i="1" s="1"/>
  <c r="H685" i="1"/>
  <c r="J685" i="1" s="1"/>
  <c r="K685" i="1" s="1"/>
  <c r="L685" i="1" s="1"/>
  <c r="H686" i="1"/>
  <c r="J686" i="1" s="1"/>
  <c r="K686" i="1" s="1"/>
  <c r="L686" i="1" s="1"/>
  <c r="H687" i="1"/>
  <c r="J687" i="1" s="1"/>
  <c r="K687" i="1" s="1"/>
  <c r="L687" i="1" s="1"/>
  <c r="H688" i="1"/>
  <c r="J688" i="1" s="1"/>
  <c r="K688" i="1" s="1"/>
  <c r="L688" i="1" s="1"/>
  <c r="H689" i="1"/>
  <c r="J689" i="1" s="1"/>
  <c r="K689" i="1" s="1"/>
  <c r="L689" i="1" s="1"/>
  <c r="H690" i="1"/>
  <c r="J690" i="1" s="1"/>
  <c r="K690" i="1" s="1"/>
  <c r="L690" i="1" s="1"/>
  <c r="H691" i="1"/>
  <c r="J691" i="1" s="1"/>
  <c r="K691" i="1" s="1"/>
  <c r="L691" i="1" s="1"/>
  <c r="H692" i="1"/>
  <c r="J692" i="1" s="1"/>
  <c r="K692" i="1" s="1"/>
  <c r="L692" i="1" s="1"/>
  <c r="H693" i="1"/>
  <c r="J693" i="1" s="1"/>
  <c r="K693" i="1" s="1"/>
  <c r="L693" i="1" s="1"/>
  <c r="H694" i="1"/>
  <c r="J694" i="1" s="1"/>
  <c r="K694" i="1" s="1"/>
  <c r="L694" i="1" s="1"/>
  <c r="H695" i="1"/>
  <c r="J695" i="1" s="1"/>
  <c r="K695" i="1" s="1"/>
  <c r="L695" i="1" s="1"/>
  <c r="H696" i="1"/>
  <c r="J696" i="1" s="1"/>
  <c r="K696" i="1" s="1"/>
  <c r="L696" i="1" s="1"/>
  <c r="H697" i="1"/>
  <c r="J697" i="1" s="1"/>
  <c r="K697" i="1" s="1"/>
  <c r="L697" i="1" s="1"/>
  <c r="H698" i="1"/>
  <c r="J698" i="1" s="1"/>
  <c r="K698" i="1" s="1"/>
  <c r="L698" i="1" s="1"/>
  <c r="H699" i="1"/>
  <c r="J699" i="1" s="1"/>
  <c r="K699" i="1" s="1"/>
  <c r="L699" i="1" s="1"/>
  <c r="H700" i="1"/>
  <c r="J700" i="1" s="1"/>
  <c r="K700" i="1" s="1"/>
  <c r="L700" i="1" s="1"/>
  <c r="H701" i="1"/>
  <c r="J701" i="1" s="1"/>
  <c r="K701" i="1" s="1"/>
  <c r="L701" i="1" s="1"/>
  <c r="H702" i="1"/>
  <c r="J702" i="1" s="1"/>
  <c r="K702" i="1" s="1"/>
  <c r="L702" i="1" s="1"/>
  <c r="H703" i="1"/>
  <c r="J703" i="1" s="1"/>
  <c r="K703" i="1" s="1"/>
  <c r="L703" i="1" s="1"/>
  <c r="H704" i="1"/>
  <c r="J704" i="1" s="1"/>
  <c r="K704" i="1" s="1"/>
  <c r="L704" i="1" s="1"/>
  <c r="H705" i="1"/>
  <c r="J705" i="1" s="1"/>
  <c r="K705" i="1" s="1"/>
  <c r="L705" i="1" s="1"/>
  <c r="H706" i="1"/>
  <c r="J706" i="1" s="1"/>
  <c r="K706" i="1" s="1"/>
  <c r="L706" i="1" s="1"/>
  <c r="H707" i="1"/>
  <c r="J707" i="1" s="1"/>
  <c r="K707" i="1" s="1"/>
  <c r="L707" i="1" s="1"/>
  <c r="H708" i="1"/>
  <c r="J708" i="1" s="1"/>
  <c r="K708" i="1" s="1"/>
  <c r="L708" i="1" s="1"/>
  <c r="H709" i="1"/>
  <c r="J709" i="1" s="1"/>
  <c r="K709" i="1" s="1"/>
  <c r="L709" i="1" s="1"/>
  <c r="H710" i="1"/>
  <c r="J710" i="1" s="1"/>
  <c r="K710" i="1" s="1"/>
  <c r="L710" i="1" s="1"/>
  <c r="H711" i="1"/>
  <c r="J711" i="1" s="1"/>
  <c r="K711" i="1" s="1"/>
  <c r="L711" i="1" s="1"/>
  <c r="H712" i="1"/>
  <c r="J712" i="1" s="1"/>
  <c r="K712" i="1" s="1"/>
  <c r="L712" i="1" s="1"/>
  <c r="H713" i="1"/>
  <c r="J713" i="1" s="1"/>
  <c r="K713" i="1" s="1"/>
  <c r="L713" i="1" s="1"/>
  <c r="H714" i="1"/>
  <c r="J714" i="1" s="1"/>
  <c r="K714" i="1" s="1"/>
  <c r="L714" i="1" s="1"/>
  <c r="H715" i="1"/>
  <c r="J715" i="1" s="1"/>
  <c r="K715" i="1" s="1"/>
  <c r="L715" i="1" s="1"/>
  <c r="H716" i="1"/>
  <c r="J716" i="1" s="1"/>
  <c r="K716" i="1" s="1"/>
  <c r="L716" i="1" s="1"/>
  <c r="H717" i="1"/>
  <c r="J717" i="1" s="1"/>
  <c r="K717" i="1" s="1"/>
  <c r="L717" i="1" s="1"/>
  <c r="H718" i="1"/>
  <c r="J718" i="1" s="1"/>
  <c r="K718" i="1" s="1"/>
  <c r="L718" i="1" s="1"/>
  <c r="H719" i="1"/>
  <c r="J719" i="1" s="1"/>
  <c r="K719" i="1" s="1"/>
  <c r="L719" i="1" s="1"/>
  <c r="H720" i="1"/>
  <c r="J720" i="1" s="1"/>
  <c r="K720" i="1" s="1"/>
  <c r="L720" i="1" s="1"/>
  <c r="H721" i="1"/>
  <c r="J721" i="1" s="1"/>
  <c r="K721" i="1" s="1"/>
  <c r="L721" i="1" s="1"/>
  <c r="H722" i="1"/>
  <c r="J722" i="1" s="1"/>
  <c r="K722" i="1" s="1"/>
  <c r="L722" i="1" s="1"/>
  <c r="H723" i="1"/>
  <c r="J723" i="1" s="1"/>
  <c r="K723" i="1" s="1"/>
  <c r="L723" i="1" s="1"/>
  <c r="H724" i="1"/>
  <c r="J724" i="1" s="1"/>
  <c r="K724" i="1" s="1"/>
  <c r="L724" i="1" s="1"/>
  <c r="H725" i="1"/>
  <c r="J725" i="1" s="1"/>
  <c r="K725" i="1" s="1"/>
  <c r="L725" i="1" s="1"/>
  <c r="H726" i="1"/>
  <c r="J726" i="1" s="1"/>
  <c r="K726" i="1" s="1"/>
  <c r="L726" i="1" s="1"/>
  <c r="H727" i="1"/>
  <c r="J727" i="1" s="1"/>
  <c r="K727" i="1" s="1"/>
  <c r="L727" i="1" s="1"/>
  <c r="H728" i="1"/>
  <c r="J728" i="1" s="1"/>
  <c r="K728" i="1" s="1"/>
  <c r="L728" i="1" s="1"/>
  <c r="H729" i="1"/>
  <c r="J729" i="1" s="1"/>
  <c r="K729" i="1" s="1"/>
  <c r="L729" i="1" s="1"/>
  <c r="H730" i="1"/>
  <c r="J730" i="1" s="1"/>
  <c r="K730" i="1" s="1"/>
  <c r="L730" i="1" s="1"/>
  <c r="H731" i="1"/>
  <c r="J731" i="1" s="1"/>
  <c r="K731" i="1" s="1"/>
  <c r="L731" i="1" s="1"/>
  <c r="H732" i="1"/>
  <c r="J732" i="1" s="1"/>
  <c r="K732" i="1" s="1"/>
  <c r="L732" i="1" s="1"/>
  <c r="H733" i="1"/>
  <c r="J733" i="1" s="1"/>
  <c r="K733" i="1" s="1"/>
  <c r="L733" i="1" s="1"/>
  <c r="H734" i="1"/>
  <c r="J734" i="1" s="1"/>
  <c r="K734" i="1" s="1"/>
  <c r="L734" i="1" s="1"/>
  <c r="H735" i="1"/>
  <c r="J735" i="1" s="1"/>
  <c r="K735" i="1" s="1"/>
  <c r="L735" i="1" s="1"/>
  <c r="H736" i="1"/>
  <c r="J736" i="1" s="1"/>
  <c r="K736" i="1" s="1"/>
  <c r="L736" i="1" s="1"/>
  <c r="H737" i="1"/>
  <c r="J737" i="1" s="1"/>
  <c r="K737" i="1" s="1"/>
  <c r="L737" i="1" s="1"/>
  <c r="H738" i="1"/>
  <c r="J738" i="1" s="1"/>
  <c r="K738" i="1" s="1"/>
  <c r="L738" i="1" s="1"/>
  <c r="H739" i="1"/>
  <c r="J739" i="1" s="1"/>
  <c r="K739" i="1" s="1"/>
  <c r="L739" i="1" s="1"/>
  <c r="H740" i="1"/>
  <c r="J740" i="1" s="1"/>
  <c r="K740" i="1" s="1"/>
  <c r="L740" i="1" s="1"/>
  <c r="H741" i="1"/>
  <c r="J741" i="1" s="1"/>
  <c r="K741" i="1" s="1"/>
  <c r="L741" i="1" s="1"/>
  <c r="H742" i="1"/>
  <c r="J742" i="1" s="1"/>
  <c r="K742" i="1" s="1"/>
  <c r="L742" i="1" s="1"/>
  <c r="H743" i="1"/>
  <c r="J743" i="1" s="1"/>
  <c r="K743" i="1" s="1"/>
  <c r="L743" i="1" s="1"/>
  <c r="H744" i="1"/>
  <c r="J744" i="1" s="1"/>
  <c r="K744" i="1" s="1"/>
  <c r="L744" i="1" s="1"/>
  <c r="H745" i="1"/>
  <c r="J745" i="1" s="1"/>
  <c r="K745" i="1" s="1"/>
  <c r="L745" i="1" s="1"/>
  <c r="H746" i="1"/>
  <c r="J746" i="1" s="1"/>
  <c r="K746" i="1" s="1"/>
  <c r="L746" i="1" s="1"/>
  <c r="H747" i="1"/>
  <c r="J747" i="1" s="1"/>
  <c r="K747" i="1" s="1"/>
  <c r="L747" i="1" s="1"/>
  <c r="H748" i="1"/>
  <c r="J748" i="1" s="1"/>
  <c r="K748" i="1" s="1"/>
  <c r="L748" i="1" s="1"/>
  <c r="H749" i="1"/>
  <c r="J749" i="1" s="1"/>
  <c r="K749" i="1" s="1"/>
  <c r="L749" i="1" s="1"/>
  <c r="H750" i="1"/>
  <c r="J750" i="1" s="1"/>
  <c r="K750" i="1" s="1"/>
  <c r="L750" i="1" s="1"/>
  <c r="H751" i="1"/>
  <c r="J751" i="1" s="1"/>
  <c r="K751" i="1" s="1"/>
  <c r="L751" i="1" s="1"/>
  <c r="H752" i="1"/>
  <c r="J752" i="1" s="1"/>
  <c r="K752" i="1" s="1"/>
  <c r="L752" i="1" s="1"/>
  <c r="H753" i="1"/>
  <c r="J753" i="1" s="1"/>
  <c r="K753" i="1" s="1"/>
  <c r="L753" i="1" s="1"/>
  <c r="H754" i="1"/>
  <c r="J754" i="1" s="1"/>
  <c r="K754" i="1" s="1"/>
  <c r="L754" i="1" s="1"/>
  <c r="H755" i="1"/>
  <c r="J755" i="1" s="1"/>
  <c r="K755" i="1" s="1"/>
  <c r="L755" i="1" s="1"/>
  <c r="H756" i="1"/>
  <c r="J756" i="1" s="1"/>
  <c r="K756" i="1" s="1"/>
  <c r="L756" i="1" s="1"/>
  <c r="H757" i="1"/>
  <c r="J757" i="1" s="1"/>
  <c r="K757" i="1" s="1"/>
  <c r="L757" i="1" s="1"/>
  <c r="H758" i="1"/>
  <c r="J758" i="1" s="1"/>
  <c r="K758" i="1" s="1"/>
  <c r="L758" i="1" s="1"/>
  <c r="H759" i="1"/>
  <c r="J759" i="1" s="1"/>
  <c r="K759" i="1" s="1"/>
  <c r="L759" i="1" s="1"/>
  <c r="H760" i="1"/>
  <c r="J760" i="1" s="1"/>
  <c r="K760" i="1" s="1"/>
  <c r="L760" i="1" s="1"/>
  <c r="H761" i="1"/>
  <c r="J761" i="1" s="1"/>
  <c r="K761" i="1" s="1"/>
  <c r="L761" i="1" s="1"/>
  <c r="H762" i="1"/>
  <c r="J762" i="1" s="1"/>
  <c r="K762" i="1" s="1"/>
  <c r="L762" i="1" s="1"/>
  <c r="H763" i="1"/>
  <c r="J763" i="1" s="1"/>
  <c r="K763" i="1" s="1"/>
  <c r="L763" i="1" s="1"/>
  <c r="H764" i="1"/>
  <c r="J764" i="1" s="1"/>
  <c r="K764" i="1" s="1"/>
  <c r="L764" i="1" s="1"/>
  <c r="H765" i="1"/>
  <c r="J765" i="1" s="1"/>
  <c r="K765" i="1" s="1"/>
  <c r="L765" i="1" s="1"/>
  <c r="H766" i="1"/>
  <c r="J766" i="1" s="1"/>
  <c r="K766" i="1" s="1"/>
  <c r="L766" i="1" s="1"/>
  <c r="H767" i="1"/>
  <c r="J767" i="1" s="1"/>
  <c r="K767" i="1" s="1"/>
  <c r="L767" i="1" s="1"/>
  <c r="H768" i="1"/>
  <c r="J768" i="1" s="1"/>
  <c r="K768" i="1" s="1"/>
  <c r="L768" i="1" s="1"/>
  <c r="H769" i="1"/>
  <c r="J769" i="1" s="1"/>
  <c r="K769" i="1" s="1"/>
  <c r="L769" i="1" s="1"/>
  <c r="H770" i="1"/>
  <c r="J770" i="1" s="1"/>
  <c r="K770" i="1" s="1"/>
  <c r="L770" i="1" s="1"/>
  <c r="H771" i="1"/>
  <c r="J771" i="1" s="1"/>
  <c r="K771" i="1" s="1"/>
  <c r="L771" i="1" s="1"/>
  <c r="H772" i="1"/>
  <c r="J772" i="1" s="1"/>
  <c r="K772" i="1" s="1"/>
  <c r="L772" i="1" s="1"/>
  <c r="H773" i="1"/>
  <c r="J773" i="1" s="1"/>
  <c r="K773" i="1" s="1"/>
  <c r="L773" i="1" s="1"/>
  <c r="H774" i="1"/>
  <c r="J774" i="1" s="1"/>
  <c r="K774" i="1" s="1"/>
  <c r="L774" i="1" s="1"/>
  <c r="H775" i="1"/>
  <c r="J775" i="1" s="1"/>
  <c r="K775" i="1" s="1"/>
  <c r="L775" i="1" s="1"/>
  <c r="H776" i="1"/>
  <c r="J776" i="1" s="1"/>
  <c r="K776" i="1" s="1"/>
  <c r="L776" i="1" s="1"/>
  <c r="H777" i="1"/>
  <c r="J777" i="1" s="1"/>
  <c r="K777" i="1" s="1"/>
  <c r="L777" i="1" s="1"/>
  <c r="H778" i="1"/>
  <c r="J778" i="1" s="1"/>
  <c r="K778" i="1" s="1"/>
  <c r="L778" i="1" s="1"/>
  <c r="H779" i="1"/>
  <c r="J779" i="1" s="1"/>
  <c r="K779" i="1" s="1"/>
  <c r="L779" i="1" s="1"/>
  <c r="H780" i="1"/>
  <c r="J780" i="1" s="1"/>
  <c r="K780" i="1" s="1"/>
  <c r="L780" i="1" s="1"/>
  <c r="H781" i="1"/>
  <c r="J781" i="1" s="1"/>
  <c r="K781" i="1" s="1"/>
  <c r="L781" i="1" s="1"/>
  <c r="H782" i="1"/>
  <c r="J782" i="1" s="1"/>
  <c r="K782" i="1" s="1"/>
  <c r="L782" i="1" s="1"/>
  <c r="H783" i="1"/>
  <c r="J783" i="1" s="1"/>
  <c r="K783" i="1" s="1"/>
  <c r="L783" i="1" s="1"/>
  <c r="H784" i="1"/>
  <c r="J784" i="1" s="1"/>
  <c r="K784" i="1" s="1"/>
  <c r="L784" i="1" s="1"/>
  <c r="H785" i="1"/>
  <c r="J785" i="1" s="1"/>
  <c r="K785" i="1" s="1"/>
  <c r="L785" i="1" s="1"/>
  <c r="H786" i="1"/>
  <c r="J786" i="1" s="1"/>
  <c r="K786" i="1" s="1"/>
  <c r="L786" i="1" s="1"/>
  <c r="H787" i="1"/>
  <c r="J787" i="1" s="1"/>
  <c r="K787" i="1" s="1"/>
  <c r="L787" i="1" s="1"/>
  <c r="H788" i="1"/>
  <c r="J788" i="1" s="1"/>
  <c r="K788" i="1" s="1"/>
  <c r="L788" i="1" s="1"/>
  <c r="H789" i="1"/>
  <c r="J789" i="1" s="1"/>
  <c r="K789" i="1" s="1"/>
  <c r="L789" i="1" s="1"/>
  <c r="H790" i="1"/>
  <c r="J790" i="1" s="1"/>
  <c r="K790" i="1" s="1"/>
  <c r="L790" i="1" s="1"/>
  <c r="H791" i="1"/>
  <c r="J791" i="1" s="1"/>
  <c r="K791" i="1" s="1"/>
  <c r="L791" i="1" s="1"/>
  <c r="H792" i="1"/>
  <c r="J792" i="1" s="1"/>
  <c r="K792" i="1" s="1"/>
  <c r="L792" i="1" s="1"/>
  <c r="H793" i="1"/>
  <c r="J793" i="1" s="1"/>
  <c r="K793" i="1" s="1"/>
  <c r="L793" i="1" s="1"/>
  <c r="H794" i="1"/>
  <c r="J794" i="1" s="1"/>
  <c r="K794" i="1" s="1"/>
  <c r="L794" i="1" s="1"/>
  <c r="H795" i="1"/>
  <c r="J795" i="1" s="1"/>
  <c r="K795" i="1" s="1"/>
  <c r="L795" i="1" s="1"/>
  <c r="H796" i="1"/>
  <c r="J796" i="1" s="1"/>
  <c r="K796" i="1" s="1"/>
  <c r="L796" i="1" s="1"/>
  <c r="H797" i="1"/>
  <c r="J797" i="1" s="1"/>
  <c r="K797" i="1" s="1"/>
  <c r="L797" i="1" s="1"/>
  <c r="H798" i="1"/>
  <c r="J798" i="1" s="1"/>
  <c r="K798" i="1" s="1"/>
  <c r="L798" i="1" s="1"/>
  <c r="H799" i="1"/>
  <c r="J799" i="1" s="1"/>
  <c r="K799" i="1" s="1"/>
  <c r="L799" i="1" s="1"/>
  <c r="H800" i="1"/>
  <c r="J800" i="1" s="1"/>
  <c r="K800" i="1" s="1"/>
  <c r="L800" i="1" s="1"/>
  <c r="H801" i="1"/>
  <c r="J801" i="1" s="1"/>
  <c r="K801" i="1" s="1"/>
  <c r="L801" i="1" s="1"/>
  <c r="H802" i="1"/>
  <c r="J802" i="1" s="1"/>
  <c r="K802" i="1" s="1"/>
  <c r="L802" i="1" s="1"/>
  <c r="H803" i="1"/>
  <c r="J803" i="1" s="1"/>
  <c r="K803" i="1" s="1"/>
  <c r="L803" i="1" s="1"/>
  <c r="H804" i="1"/>
  <c r="J804" i="1" s="1"/>
  <c r="K804" i="1" s="1"/>
  <c r="L804" i="1" s="1"/>
  <c r="H805" i="1"/>
  <c r="J805" i="1" s="1"/>
  <c r="K805" i="1" s="1"/>
  <c r="L805" i="1" s="1"/>
  <c r="H806" i="1"/>
  <c r="J806" i="1" s="1"/>
  <c r="K806" i="1" s="1"/>
  <c r="L806" i="1" s="1"/>
  <c r="H807" i="1"/>
  <c r="J807" i="1" s="1"/>
  <c r="K807" i="1" s="1"/>
  <c r="L807" i="1" s="1"/>
  <c r="H808" i="1"/>
  <c r="J808" i="1" s="1"/>
  <c r="K808" i="1" s="1"/>
  <c r="L808" i="1" s="1"/>
  <c r="H809" i="1"/>
  <c r="J809" i="1" s="1"/>
  <c r="K809" i="1" s="1"/>
  <c r="L809" i="1" s="1"/>
  <c r="H810" i="1"/>
  <c r="J810" i="1" s="1"/>
  <c r="K810" i="1" s="1"/>
  <c r="L810" i="1" s="1"/>
  <c r="H811" i="1"/>
  <c r="J811" i="1" s="1"/>
  <c r="K811" i="1" s="1"/>
  <c r="L811" i="1" s="1"/>
  <c r="H812" i="1"/>
  <c r="J812" i="1" s="1"/>
  <c r="K812" i="1" s="1"/>
  <c r="L812" i="1" s="1"/>
  <c r="H813" i="1"/>
  <c r="J813" i="1" s="1"/>
  <c r="K813" i="1" s="1"/>
  <c r="L813" i="1" s="1"/>
  <c r="H814" i="1"/>
  <c r="J814" i="1" s="1"/>
  <c r="K814" i="1" s="1"/>
  <c r="L814" i="1" s="1"/>
  <c r="H815" i="1"/>
  <c r="J815" i="1" s="1"/>
  <c r="K815" i="1" s="1"/>
  <c r="L815" i="1" s="1"/>
  <c r="H816" i="1"/>
  <c r="J816" i="1" s="1"/>
  <c r="K816" i="1" s="1"/>
  <c r="L816" i="1" s="1"/>
  <c r="H817" i="1"/>
  <c r="J817" i="1" s="1"/>
  <c r="K817" i="1" s="1"/>
  <c r="L817" i="1" s="1"/>
  <c r="H818" i="1"/>
  <c r="J818" i="1" s="1"/>
  <c r="K818" i="1" s="1"/>
  <c r="L818" i="1" s="1"/>
  <c r="H819" i="1"/>
  <c r="J819" i="1" s="1"/>
  <c r="K819" i="1" s="1"/>
  <c r="L819" i="1" s="1"/>
  <c r="H820" i="1"/>
  <c r="J820" i="1" s="1"/>
  <c r="K820" i="1" s="1"/>
  <c r="L820" i="1" s="1"/>
  <c r="H821" i="1"/>
  <c r="J821" i="1" s="1"/>
  <c r="K821" i="1" s="1"/>
  <c r="L821" i="1" s="1"/>
  <c r="H822" i="1"/>
  <c r="J822" i="1" s="1"/>
  <c r="K822" i="1" s="1"/>
  <c r="L822" i="1" s="1"/>
  <c r="H823" i="1"/>
  <c r="J823" i="1" s="1"/>
  <c r="K823" i="1" s="1"/>
  <c r="L823" i="1" s="1"/>
  <c r="H824" i="1"/>
  <c r="J824" i="1" s="1"/>
  <c r="K824" i="1" s="1"/>
  <c r="L824" i="1" s="1"/>
  <c r="H825" i="1"/>
  <c r="J825" i="1" s="1"/>
  <c r="K825" i="1" s="1"/>
  <c r="L825" i="1" s="1"/>
  <c r="H826" i="1"/>
  <c r="J826" i="1" s="1"/>
  <c r="K826" i="1" s="1"/>
  <c r="L826" i="1" s="1"/>
  <c r="H827" i="1"/>
  <c r="J827" i="1" s="1"/>
  <c r="K827" i="1" s="1"/>
  <c r="L827" i="1" s="1"/>
  <c r="H828" i="1"/>
  <c r="J828" i="1" s="1"/>
  <c r="K828" i="1" s="1"/>
  <c r="L828" i="1" s="1"/>
  <c r="H829" i="1"/>
  <c r="J829" i="1" s="1"/>
  <c r="K829" i="1" s="1"/>
  <c r="L829" i="1" s="1"/>
  <c r="H830" i="1"/>
  <c r="J830" i="1" s="1"/>
  <c r="K830" i="1" s="1"/>
  <c r="L830" i="1" s="1"/>
  <c r="H831" i="1"/>
  <c r="J831" i="1" s="1"/>
  <c r="K831" i="1" s="1"/>
  <c r="L831" i="1" s="1"/>
  <c r="H832" i="1"/>
  <c r="J832" i="1" s="1"/>
  <c r="K832" i="1" s="1"/>
  <c r="L832" i="1" s="1"/>
  <c r="H833" i="1"/>
  <c r="J833" i="1" s="1"/>
  <c r="K833" i="1" s="1"/>
  <c r="L833" i="1" s="1"/>
  <c r="H834" i="1"/>
  <c r="J834" i="1" s="1"/>
  <c r="K834" i="1" s="1"/>
  <c r="L834" i="1" s="1"/>
  <c r="H835" i="1"/>
  <c r="J835" i="1" s="1"/>
  <c r="K835" i="1" s="1"/>
  <c r="L835" i="1" s="1"/>
  <c r="H836" i="1"/>
  <c r="J836" i="1" s="1"/>
  <c r="K836" i="1" s="1"/>
  <c r="L836" i="1" s="1"/>
  <c r="H837" i="1"/>
  <c r="J837" i="1" s="1"/>
  <c r="K837" i="1" s="1"/>
  <c r="L837" i="1" s="1"/>
  <c r="H838" i="1"/>
  <c r="J838" i="1" s="1"/>
  <c r="K838" i="1" s="1"/>
  <c r="L838" i="1" s="1"/>
  <c r="H839" i="1"/>
  <c r="J839" i="1" s="1"/>
  <c r="K839" i="1" s="1"/>
  <c r="L839" i="1" s="1"/>
  <c r="H840" i="1"/>
  <c r="J840" i="1" s="1"/>
  <c r="K840" i="1" s="1"/>
  <c r="L840" i="1" s="1"/>
  <c r="H841" i="1"/>
  <c r="J841" i="1" s="1"/>
  <c r="K841" i="1" s="1"/>
  <c r="L841" i="1" s="1"/>
  <c r="H842" i="1"/>
  <c r="J842" i="1" s="1"/>
  <c r="K842" i="1" s="1"/>
  <c r="L842" i="1" s="1"/>
  <c r="H843" i="1"/>
  <c r="J843" i="1" s="1"/>
  <c r="K843" i="1" s="1"/>
  <c r="L843" i="1" s="1"/>
  <c r="H844" i="1"/>
  <c r="J844" i="1" s="1"/>
  <c r="K844" i="1" s="1"/>
  <c r="L844" i="1" s="1"/>
  <c r="H845" i="1"/>
  <c r="J845" i="1" s="1"/>
  <c r="K845" i="1" s="1"/>
  <c r="L845" i="1" s="1"/>
  <c r="H846" i="1"/>
  <c r="J846" i="1" s="1"/>
  <c r="K846" i="1" s="1"/>
  <c r="L846" i="1" s="1"/>
  <c r="H847" i="1"/>
  <c r="J847" i="1" s="1"/>
  <c r="K847" i="1" s="1"/>
  <c r="L847" i="1" s="1"/>
  <c r="H848" i="1"/>
  <c r="J848" i="1" s="1"/>
  <c r="K848" i="1" s="1"/>
  <c r="L848" i="1" s="1"/>
  <c r="H849" i="1"/>
  <c r="J849" i="1" s="1"/>
  <c r="K849" i="1" s="1"/>
  <c r="L849" i="1" s="1"/>
  <c r="H850" i="1"/>
  <c r="J850" i="1" s="1"/>
  <c r="K850" i="1" s="1"/>
  <c r="L850" i="1" s="1"/>
  <c r="H851" i="1"/>
  <c r="J851" i="1" s="1"/>
  <c r="K851" i="1" s="1"/>
  <c r="L851" i="1" s="1"/>
  <c r="H852" i="1"/>
  <c r="J852" i="1" s="1"/>
  <c r="K852" i="1" s="1"/>
  <c r="L852" i="1" s="1"/>
  <c r="H853" i="1"/>
  <c r="J853" i="1" s="1"/>
  <c r="K853" i="1" s="1"/>
  <c r="L853" i="1" s="1"/>
  <c r="H854" i="1"/>
  <c r="J854" i="1" s="1"/>
  <c r="K854" i="1" s="1"/>
  <c r="L854" i="1" s="1"/>
  <c r="H855" i="1"/>
  <c r="J855" i="1" s="1"/>
  <c r="K855" i="1" s="1"/>
  <c r="L855" i="1" s="1"/>
  <c r="H856" i="1"/>
  <c r="J856" i="1" s="1"/>
  <c r="K856" i="1" s="1"/>
  <c r="L856" i="1" s="1"/>
  <c r="H857" i="1"/>
  <c r="J857" i="1" s="1"/>
  <c r="K857" i="1" s="1"/>
  <c r="L857" i="1" s="1"/>
  <c r="H858" i="1"/>
  <c r="J858" i="1" s="1"/>
  <c r="K858" i="1" s="1"/>
  <c r="L858" i="1" s="1"/>
  <c r="H859" i="1"/>
  <c r="J859" i="1" s="1"/>
  <c r="K859" i="1" s="1"/>
  <c r="L859" i="1" s="1"/>
  <c r="H860" i="1"/>
  <c r="J860" i="1" s="1"/>
  <c r="K860" i="1" s="1"/>
  <c r="L860" i="1" s="1"/>
  <c r="H861" i="1"/>
  <c r="J861" i="1" s="1"/>
  <c r="K861" i="1" s="1"/>
  <c r="L861" i="1" s="1"/>
  <c r="H862" i="1"/>
  <c r="J862" i="1" s="1"/>
  <c r="K862" i="1" s="1"/>
  <c r="L862" i="1" s="1"/>
  <c r="H863" i="1"/>
  <c r="J863" i="1" s="1"/>
  <c r="K863" i="1" s="1"/>
  <c r="L863" i="1" s="1"/>
  <c r="H864" i="1"/>
  <c r="J864" i="1" s="1"/>
  <c r="K864" i="1" s="1"/>
  <c r="L864" i="1" s="1"/>
  <c r="H865" i="1"/>
  <c r="J865" i="1" s="1"/>
  <c r="K865" i="1" s="1"/>
  <c r="L865" i="1" s="1"/>
  <c r="H866" i="1"/>
  <c r="J866" i="1" s="1"/>
  <c r="K866" i="1" s="1"/>
  <c r="L866" i="1" s="1"/>
  <c r="H867" i="1"/>
  <c r="J867" i="1" s="1"/>
  <c r="K867" i="1" s="1"/>
  <c r="L867" i="1" s="1"/>
  <c r="H868" i="1"/>
  <c r="J868" i="1" s="1"/>
  <c r="K868" i="1" s="1"/>
  <c r="L868" i="1" s="1"/>
  <c r="H869" i="1"/>
  <c r="J869" i="1" s="1"/>
  <c r="K869" i="1" s="1"/>
  <c r="L869" i="1" s="1"/>
  <c r="H870" i="1"/>
  <c r="J870" i="1" s="1"/>
  <c r="K870" i="1" s="1"/>
  <c r="L870" i="1" s="1"/>
  <c r="H871" i="1"/>
  <c r="J871" i="1" s="1"/>
  <c r="K871" i="1" s="1"/>
  <c r="L871" i="1" s="1"/>
  <c r="H872" i="1"/>
  <c r="J872" i="1" s="1"/>
  <c r="K872" i="1" s="1"/>
  <c r="L872" i="1" s="1"/>
  <c r="H873" i="1"/>
  <c r="J873" i="1" s="1"/>
  <c r="K873" i="1" s="1"/>
  <c r="L873" i="1" s="1"/>
  <c r="H874" i="1"/>
  <c r="J874" i="1" s="1"/>
  <c r="K874" i="1" s="1"/>
  <c r="L874" i="1" s="1"/>
  <c r="H875" i="1"/>
  <c r="J875" i="1" s="1"/>
  <c r="K875" i="1" s="1"/>
  <c r="L875" i="1" s="1"/>
  <c r="H876" i="1"/>
  <c r="J876" i="1" s="1"/>
  <c r="K876" i="1" s="1"/>
  <c r="L876" i="1" s="1"/>
  <c r="H877" i="1"/>
  <c r="J877" i="1" s="1"/>
  <c r="K877" i="1" s="1"/>
  <c r="L877" i="1" s="1"/>
  <c r="H878" i="1"/>
  <c r="J878" i="1" s="1"/>
  <c r="K878" i="1" s="1"/>
  <c r="L878" i="1" s="1"/>
  <c r="H879" i="1"/>
  <c r="J879" i="1" s="1"/>
  <c r="K879" i="1" s="1"/>
  <c r="L879" i="1" s="1"/>
  <c r="H880" i="1"/>
  <c r="J880" i="1" s="1"/>
  <c r="K880" i="1" s="1"/>
  <c r="L880" i="1" s="1"/>
  <c r="H881" i="1"/>
  <c r="J881" i="1" s="1"/>
  <c r="K881" i="1" s="1"/>
  <c r="L881" i="1" s="1"/>
  <c r="H882" i="1"/>
  <c r="J882" i="1" s="1"/>
  <c r="K882" i="1" s="1"/>
  <c r="L882" i="1" s="1"/>
  <c r="H883" i="1"/>
  <c r="J883" i="1" s="1"/>
  <c r="K883" i="1" s="1"/>
  <c r="L883" i="1" s="1"/>
  <c r="H884" i="1"/>
  <c r="J884" i="1" s="1"/>
  <c r="K884" i="1" s="1"/>
  <c r="L884" i="1" s="1"/>
  <c r="H885" i="1"/>
  <c r="J885" i="1" s="1"/>
  <c r="K885" i="1" s="1"/>
  <c r="L885" i="1" s="1"/>
  <c r="H886" i="1"/>
  <c r="J886" i="1" s="1"/>
  <c r="K886" i="1" s="1"/>
  <c r="L886" i="1" s="1"/>
  <c r="H887" i="1"/>
  <c r="J887" i="1" s="1"/>
  <c r="K887" i="1" s="1"/>
  <c r="L887" i="1" s="1"/>
  <c r="H888" i="1"/>
  <c r="J888" i="1" s="1"/>
  <c r="K888" i="1" s="1"/>
  <c r="L888" i="1" s="1"/>
  <c r="H889" i="1"/>
  <c r="J889" i="1" s="1"/>
  <c r="K889" i="1" s="1"/>
  <c r="L889" i="1" s="1"/>
  <c r="H890" i="1"/>
  <c r="J890" i="1" s="1"/>
  <c r="K890" i="1" s="1"/>
  <c r="L890" i="1" s="1"/>
  <c r="H891" i="1"/>
  <c r="J891" i="1" s="1"/>
  <c r="K891" i="1" s="1"/>
  <c r="L891" i="1" s="1"/>
  <c r="H892" i="1"/>
  <c r="J892" i="1" s="1"/>
  <c r="K892" i="1" s="1"/>
  <c r="L892" i="1" s="1"/>
  <c r="H893" i="1"/>
  <c r="J893" i="1" s="1"/>
  <c r="K893" i="1" s="1"/>
  <c r="L893" i="1" s="1"/>
  <c r="H894" i="1"/>
  <c r="J894" i="1" s="1"/>
  <c r="K894" i="1" s="1"/>
  <c r="L894" i="1" s="1"/>
  <c r="H895" i="1"/>
  <c r="J895" i="1" s="1"/>
  <c r="K895" i="1" s="1"/>
  <c r="L895" i="1" s="1"/>
  <c r="H896" i="1"/>
  <c r="J896" i="1" s="1"/>
  <c r="K896" i="1" s="1"/>
  <c r="L896" i="1" s="1"/>
  <c r="H897" i="1"/>
  <c r="J897" i="1" s="1"/>
  <c r="K897" i="1" s="1"/>
  <c r="L897" i="1" s="1"/>
  <c r="H898" i="1"/>
  <c r="J898" i="1" s="1"/>
  <c r="K898" i="1" s="1"/>
  <c r="L898" i="1" s="1"/>
  <c r="H899" i="1"/>
  <c r="J899" i="1" s="1"/>
  <c r="K899" i="1" s="1"/>
  <c r="L899" i="1" s="1"/>
  <c r="H900" i="1"/>
  <c r="J900" i="1" s="1"/>
  <c r="K900" i="1" s="1"/>
  <c r="L900" i="1" s="1"/>
  <c r="H901" i="1"/>
  <c r="J901" i="1" s="1"/>
  <c r="K901" i="1" s="1"/>
  <c r="L901" i="1" s="1"/>
  <c r="H902" i="1"/>
  <c r="J902" i="1" s="1"/>
  <c r="K902" i="1" s="1"/>
  <c r="L902" i="1" s="1"/>
  <c r="H903" i="1"/>
  <c r="J903" i="1" s="1"/>
  <c r="K903" i="1" s="1"/>
  <c r="L903" i="1" s="1"/>
  <c r="H904" i="1"/>
  <c r="J904" i="1" s="1"/>
  <c r="K904" i="1" s="1"/>
  <c r="L904" i="1" s="1"/>
  <c r="H905" i="1"/>
  <c r="J905" i="1" s="1"/>
  <c r="K905" i="1" s="1"/>
  <c r="L905" i="1" s="1"/>
  <c r="H906" i="1"/>
  <c r="J906" i="1" s="1"/>
  <c r="K906" i="1" s="1"/>
  <c r="L906" i="1" s="1"/>
  <c r="H907" i="1"/>
  <c r="J907" i="1" s="1"/>
  <c r="K907" i="1" s="1"/>
  <c r="L907" i="1" s="1"/>
  <c r="H908" i="1"/>
  <c r="J908" i="1" s="1"/>
  <c r="K908" i="1" s="1"/>
  <c r="L908" i="1" s="1"/>
  <c r="H909" i="1"/>
  <c r="J909" i="1" s="1"/>
  <c r="K909" i="1" s="1"/>
  <c r="L909" i="1" s="1"/>
  <c r="H910" i="1"/>
  <c r="J910" i="1" s="1"/>
  <c r="K910" i="1" s="1"/>
  <c r="L910" i="1" s="1"/>
  <c r="H911" i="1"/>
  <c r="J911" i="1" s="1"/>
  <c r="K911" i="1" s="1"/>
  <c r="L911" i="1" s="1"/>
  <c r="H912" i="1"/>
  <c r="J912" i="1" s="1"/>
  <c r="K912" i="1" s="1"/>
  <c r="L912" i="1" s="1"/>
  <c r="H913" i="1"/>
  <c r="J913" i="1" s="1"/>
  <c r="K913" i="1" s="1"/>
  <c r="L913" i="1" s="1"/>
  <c r="H914" i="1"/>
  <c r="J914" i="1" s="1"/>
  <c r="K914" i="1" s="1"/>
  <c r="L914" i="1" s="1"/>
  <c r="H915" i="1"/>
  <c r="J915" i="1" s="1"/>
  <c r="K915" i="1" s="1"/>
  <c r="L915" i="1" s="1"/>
  <c r="H916" i="1"/>
  <c r="J916" i="1" s="1"/>
  <c r="K916" i="1" s="1"/>
  <c r="L916" i="1" s="1"/>
  <c r="H917" i="1"/>
  <c r="J917" i="1" s="1"/>
  <c r="K917" i="1" s="1"/>
  <c r="L917" i="1" s="1"/>
  <c r="H918" i="1"/>
  <c r="J918" i="1" s="1"/>
  <c r="K918" i="1" s="1"/>
  <c r="L918" i="1" s="1"/>
  <c r="H919" i="1"/>
  <c r="J919" i="1" s="1"/>
  <c r="K919" i="1" s="1"/>
  <c r="L919" i="1" s="1"/>
  <c r="H920" i="1"/>
  <c r="J920" i="1" s="1"/>
  <c r="K920" i="1" s="1"/>
  <c r="L920" i="1" s="1"/>
  <c r="H921" i="1"/>
  <c r="J921" i="1" s="1"/>
  <c r="K921" i="1" s="1"/>
  <c r="L921" i="1" s="1"/>
  <c r="H922" i="1"/>
  <c r="J922" i="1" s="1"/>
  <c r="K922" i="1" s="1"/>
  <c r="L922" i="1" s="1"/>
  <c r="H923" i="1"/>
  <c r="J923" i="1" s="1"/>
  <c r="K923" i="1" s="1"/>
  <c r="L923" i="1" s="1"/>
  <c r="H924" i="1"/>
  <c r="J924" i="1" s="1"/>
  <c r="K924" i="1" s="1"/>
  <c r="L924" i="1" s="1"/>
  <c r="H925" i="1"/>
  <c r="J925" i="1" s="1"/>
  <c r="K925" i="1" s="1"/>
  <c r="L925" i="1" s="1"/>
  <c r="H926" i="1"/>
  <c r="J926" i="1" s="1"/>
  <c r="K926" i="1" s="1"/>
  <c r="L926" i="1" s="1"/>
  <c r="H927" i="1"/>
  <c r="J927" i="1" s="1"/>
  <c r="K927" i="1" s="1"/>
  <c r="L927" i="1" s="1"/>
  <c r="H928" i="1"/>
  <c r="J928" i="1" s="1"/>
  <c r="K928" i="1" s="1"/>
  <c r="L928" i="1" s="1"/>
  <c r="H929" i="1"/>
  <c r="J929" i="1" s="1"/>
  <c r="K929" i="1" s="1"/>
  <c r="L929" i="1" s="1"/>
  <c r="H930" i="1"/>
  <c r="J930" i="1" s="1"/>
  <c r="K930" i="1" s="1"/>
  <c r="L930" i="1" s="1"/>
  <c r="H931" i="1"/>
  <c r="J931" i="1" s="1"/>
  <c r="K931" i="1" s="1"/>
  <c r="L931" i="1" s="1"/>
  <c r="H932" i="1"/>
  <c r="J932" i="1" s="1"/>
  <c r="K932" i="1" s="1"/>
  <c r="L932" i="1" s="1"/>
  <c r="H933" i="1"/>
  <c r="J933" i="1" s="1"/>
  <c r="K933" i="1" s="1"/>
  <c r="L933" i="1" s="1"/>
  <c r="H934" i="1"/>
  <c r="J934" i="1" s="1"/>
  <c r="K934" i="1" s="1"/>
  <c r="L934" i="1" s="1"/>
  <c r="H935" i="1"/>
  <c r="J935" i="1" s="1"/>
  <c r="K935" i="1" s="1"/>
  <c r="L935" i="1" s="1"/>
  <c r="H936" i="1"/>
  <c r="J936" i="1" s="1"/>
  <c r="K936" i="1" s="1"/>
  <c r="L936" i="1" s="1"/>
  <c r="H937" i="1"/>
  <c r="J937" i="1" s="1"/>
  <c r="K937" i="1" s="1"/>
  <c r="L937" i="1" s="1"/>
  <c r="H938" i="1"/>
  <c r="J938" i="1" s="1"/>
  <c r="K938" i="1" s="1"/>
  <c r="L938" i="1" s="1"/>
  <c r="H939" i="1"/>
  <c r="J939" i="1" s="1"/>
  <c r="K939" i="1" s="1"/>
  <c r="L939" i="1" s="1"/>
  <c r="H940" i="1"/>
  <c r="J940" i="1" s="1"/>
  <c r="K940" i="1" s="1"/>
  <c r="L940" i="1" s="1"/>
  <c r="H941" i="1"/>
  <c r="J941" i="1" s="1"/>
  <c r="K941" i="1" s="1"/>
  <c r="L941" i="1" s="1"/>
  <c r="H942" i="1"/>
  <c r="J942" i="1" s="1"/>
  <c r="K942" i="1" s="1"/>
  <c r="L942" i="1" s="1"/>
  <c r="H943" i="1"/>
  <c r="J943" i="1" s="1"/>
  <c r="K943" i="1" s="1"/>
  <c r="L943" i="1" s="1"/>
  <c r="H944" i="1"/>
  <c r="J944" i="1" s="1"/>
  <c r="K944" i="1" s="1"/>
  <c r="L944" i="1" s="1"/>
  <c r="H945" i="1"/>
  <c r="J945" i="1" s="1"/>
  <c r="K945" i="1" s="1"/>
  <c r="L945" i="1" s="1"/>
  <c r="H946" i="1"/>
  <c r="J946" i="1" s="1"/>
  <c r="K946" i="1" s="1"/>
  <c r="L946" i="1" s="1"/>
  <c r="H947" i="1"/>
  <c r="J947" i="1" s="1"/>
  <c r="K947" i="1" s="1"/>
  <c r="L947" i="1" s="1"/>
  <c r="H948" i="1"/>
  <c r="J948" i="1" s="1"/>
  <c r="K948" i="1" s="1"/>
  <c r="L948" i="1" s="1"/>
  <c r="H949" i="1"/>
  <c r="J949" i="1" s="1"/>
  <c r="K949" i="1" s="1"/>
  <c r="L949" i="1" s="1"/>
  <c r="H950" i="1"/>
  <c r="J950" i="1" s="1"/>
  <c r="K950" i="1" s="1"/>
  <c r="L950" i="1" s="1"/>
  <c r="H951" i="1"/>
  <c r="J951" i="1" s="1"/>
  <c r="K951" i="1" s="1"/>
  <c r="L951" i="1" s="1"/>
  <c r="H952" i="1"/>
  <c r="J952" i="1" s="1"/>
  <c r="K952" i="1" s="1"/>
  <c r="L952" i="1" s="1"/>
  <c r="H953" i="1"/>
  <c r="J953" i="1" s="1"/>
  <c r="K953" i="1" s="1"/>
  <c r="L953" i="1" s="1"/>
  <c r="H954" i="1"/>
  <c r="J954" i="1" s="1"/>
  <c r="K954" i="1" s="1"/>
  <c r="L954" i="1" s="1"/>
  <c r="H955" i="1"/>
  <c r="J955" i="1" s="1"/>
  <c r="K955" i="1" s="1"/>
  <c r="L955" i="1" s="1"/>
  <c r="H956" i="1"/>
  <c r="J956" i="1" s="1"/>
  <c r="K956" i="1" s="1"/>
  <c r="L956" i="1" s="1"/>
  <c r="H957" i="1"/>
  <c r="J957" i="1" s="1"/>
  <c r="K957" i="1" s="1"/>
  <c r="L957" i="1" s="1"/>
  <c r="H958" i="1"/>
  <c r="J958" i="1" s="1"/>
  <c r="K958" i="1" s="1"/>
  <c r="L958" i="1" s="1"/>
  <c r="H959" i="1"/>
  <c r="J959" i="1" s="1"/>
  <c r="K959" i="1" s="1"/>
  <c r="L959" i="1" s="1"/>
  <c r="H960" i="1"/>
  <c r="J960" i="1" s="1"/>
  <c r="K960" i="1" s="1"/>
  <c r="L960" i="1" s="1"/>
  <c r="H961" i="1"/>
  <c r="J961" i="1" s="1"/>
  <c r="K961" i="1" s="1"/>
  <c r="L961" i="1" s="1"/>
  <c r="H962" i="1"/>
  <c r="J962" i="1" s="1"/>
  <c r="K962" i="1" s="1"/>
  <c r="L962" i="1" s="1"/>
  <c r="H963" i="1"/>
  <c r="J963" i="1" s="1"/>
  <c r="K963" i="1" s="1"/>
  <c r="L963" i="1" s="1"/>
  <c r="H964" i="1"/>
  <c r="J964" i="1" s="1"/>
  <c r="K964" i="1" s="1"/>
  <c r="L964" i="1" s="1"/>
  <c r="H965" i="1"/>
  <c r="J965" i="1" s="1"/>
  <c r="K965" i="1" s="1"/>
  <c r="L965" i="1" s="1"/>
  <c r="H966" i="1"/>
  <c r="J966" i="1" s="1"/>
  <c r="K966" i="1" s="1"/>
  <c r="L966" i="1" s="1"/>
  <c r="H967" i="1"/>
  <c r="J967" i="1" s="1"/>
  <c r="K967" i="1" s="1"/>
  <c r="L967" i="1" s="1"/>
  <c r="H968" i="1"/>
  <c r="J968" i="1" s="1"/>
  <c r="K968" i="1" s="1"/>
  <c r="L968" i="1" s="1"/>
  <c r="H969" i="1"/>
  <c r="J969" i="1" s="1"/>
  <c r="K969" i="1" s="1"/>
  <c r="L969" i="1" s="1"/>
  <c r="H970" i="1"/>
  <c r="J970" i="1" s="1"/>
  <c r="K970" i="1" s="1"/>
  <c r="L970" i="1" s="1"/>
  <c r="H971" i="1"/>
  <c r="J971" i="1" s="1"/>
  <c r="K971" i="1" s="1"/>
  <c r="L971" i="1" s="1"/>
  <c r="H972" i="1"/>
  <c r="J972" i="1" s="1"/>
  <c r="K972" i="1" s="1"/>
  <c r="L972" i="1" s="1"/>
  <c r="H973" i="1"/>
  <c r="J973" i="1" s="1"/>
  <c r="K973" i="1" s="1"/>
  <c r="L973" i="1" s="1"/>
  <c r="H974" i="1"/>
  <c r="J974" i="1" s="1"/>
  <c r="K974" i="1" s="1"/>
  <c r="L974" i="1" s="1"/>
  <c r="H975" i="1"/>
  <c r="J975" i="1" s="1"/>
  <c r="K975" i="1" s="1"/>
  <c r="L975" i="1" s="1"/>
  <c r="H976" i="1"/>
  <c r="J976" i="1" s="1"/>
  <c r="K976" i="1" s="1"/>
  <c r="L976" i="1" s="1"/>
  <c r="H977" i="1"/>
  <c r="J977" i="1" s="1"/>
  <c r="K977" i="1" s="1"/>
  <c r="L977" i="1" s="1"/>
  <c r="H978" i="1"/>
  <c r="J978" i="1" s="1"/>
  <c r="K978" i="1" s="1"/>
  <c r="L978" i="1" s="1"/>
  <c r="H979" i="1"/>
  <c r="J979" i="1" s="1"/>
  <c r="K979" i="1" s="1"/>
  <c r="L979" i="1" s="1"/>
  <c r="H980" i="1"/>
  <c r="J980" i="1" s="1"/>
  <c r="K980" i="1" s="1"/>
  <c r="L980" i="1" s="1"/>
  <c r="H981" i="1"/>
  <c r="J981" i="1" s="1"/>
  <c r="K981" i="1" s="1"/>
  <c r="L981" i="1" s="1"/>
  <c r="H982" i="1"/>
  <c r="J982" i="1" s="1"/>
  <c r="K982" i="1" s="1"/>
  <c r="L982" i="1" s="1"/>
  <c r="H983" i="1"/>
  <c r="J983" i="1" s="1"/>
  <c r="K983" i="1" s="1"/>
  <c r="L983" i="1" s="1"/>
  <c r="H984" i="1"/>
  <c r="J984" i="1" s="1"/>
  <c r="K984" i="1" s="1"/>
  <c r="L984" i="1" s="1"/>
  <c r="H985" i="1"/>
  <c r="J985" i="1" s="1"/>
  <c r="K985" i="1" s="1"/>
  <c r="L985" i="1" s="1"/>
  <c r="H986" i="1"/>
  <c r="J986" i="1" s="1"/>
  <c r="K986" i="1" s="1"/>
  <c r="L986" i="1" s="1"/>
  <c r="H987" i="1"/>
  <c r="J987" i="1" s="1"/>
  <c r="K987" i="1" s="1"/>
  <c r="L987" i="1" s="1"/>
  <c r="H988" i="1"/>
  <c r="J988" i="1" s="1"/>
  <c r="K988" i="1" s="1"/>
  <c r="L988" i="1" s="1"/>
  <c r="H989" i="1"/>
  <c r="J989" i="1" s="1"/>
  <c r="K989" i="1" s="1"/>
  <c r="L989" i="1" s="1"/>
  <c r="H990" i="1"/>
  <c r="J990" i="1" s="1"/>
  <c r="K990" i="1" s="1"/>
  <c r="L990" i="1" s="1"/>
  <c r="H991" i="1"/>
  <c r="J991" i="1" s="1"/>
  <c r="K991" i="1" s="1"/>
  <c r="L991" i="1" s="1"/>
  <c r="H992" i="1"/>
  <c r="J992" i="1" s="1"/>
  <c r="K992" i="1" s="1"/>
  <c r="L992" i="1" s="1"/>
  <c r="H993" i="1"/>
  <c r="J993" i="1" s="1"/>
  <c r="K993" i="1" s="1"/>
  <c r="L993" i="1" s="1"/>
  <c r="H994" i="1"/>
  <c r="J994" i="1" s="1"/>
  <c r="K994" i="1" s="1"/>
  <c r="L994" i="1" s="1"/>
  <c r="H995" i="1"/>
  <c r="J995" i="1" s="1"/>
  <c r="K995" i="1" s="1"/>
  <c r="L995" i="1" s="1"/>
  <c r="H996" i="1"/>
  <c r="J996" i="1" s="1"/>
  <c r="K996" i="1" s="1"/>
  <c r="L996" i="1" s="1"/>
  <c r="H997" i="1"/>
  <c r="J997" i="1" s="1"/>
  <c r="K997" i="1" s="1"/>
  <c r="L997" i="1" s="1"/>
  <c r="H998" i="1"/>
  <c r="J998" i="1" s="1"/>
  <c r="K998" i="1" s="1"/>
  <c r="L998" i="1" s="1"/>
  <c r="H999" i="1"/>
  <c r="J999" i="1" s="1"/>
  <c r="K999" i="1" s="1"/>
  <c r="L999" i="1" s="1"/>
  <c r="H1000" i="1"/>
  <c r="J1000" i="1" s="1"/>
  <c r="K1000" i="1" s="1"/>
  <c r="L1000" i="1" s="1"/>
  <c r="E2" i="6"/>
  <c r="H2" i="6"/>
  <c r="H5" i="6"/>
  <c r="E5" i="6"/>
  <c r="H4" i="6"/>
  <c r="E4" i="6"/>
  <c r="H3" i="6"/>
  <c r="E3" i="6"/>
  <c r="J5" i="1" l="1"/>
  <c r="K5" i="1" s="1"/>
  <c r="L5" i="1" s="1"/>
  <c r="J4" i="1"/>
  <c r="K4" i="1" s="1"/>
  <c r="L4" i="1" s="1"/>
  <c r="J15" i="1"/>
  <c r="K15" i="1" s="1"/>
  <c r="L15" i="1" s="1"/>
  <c r="J3" i="1"/>
  <c r="K3" i="1" s="1"/>
  <c r="L3" i="1" s="1"/>
  <c r="J14" i="1"/>
  <c r="K14" i="1" s="1"/>
  <c r="L14" i="1" s="1"/>
  <c r="J13" i="1"/>
  <c r="K13" i="1" s="1"/>
  <c r="L13" i="1" s="1"/>
  <c r="J12" i="1"/>
  <c r="K12" i="1" s="1"/>
  <c r="L12" i="1" s="1"/>
  <c r="J11" i="1"/>
  <c r="K11" i="1" s="1"/>
  <c r="L11" i="1" s="1"/>
  <c r="J10" i="1"/>
  <c r="K10" i="1" s="1"/>
  <c r="L10" i="1" s="1"/>
  <c r="J9" i="1"/>
  <c r="K9" i="1" s="1"/>
  <c r="L9" i="1" s="1"/>
  <c r="J8" i="1"/>
  <c r="K8" i="1" s="1"/>
  <c r="L8" i="1" s="1"/>
  <c r="J7" i="1"/>
  <c r="K7" i="1" s="1"/>
  <c r="L7" i="1" s="1"/>
  <c r="J6" i="1"/>
  <c r="K6" i="1" s="1"/>
  <c r="L6" i="1" s="1"/>
  <c r="J18" i="1"/>
  <c r="K18" i="1" s="1"/>
  <c r="L18" i="1" s="1"/>
  <c r="J17" i="1"/>
  <c r="K17" i="1" s="1"/>
  <c r="L17" i="1" s="1"/>
  <c r="J16" i="1"/>
  <c r="K16" i="1" s="1"/>
  <c r="L16" i="1" s="1"/>
</calcChain>
</file>

<file path=xl/sharedStrings.xml><?xml version="1.0" encoding="utf-8"?>
<sst xmlns="http://schemas.openxmlformats.org/spreadsheetml/2006/main" count="56" uniqueCount="29">
  <si>
    <t>Service Type</t>
  </si>
  <si>
    <t>Plan Type</t>
  </si>
  <si>
    <t>Speed Bandwith</t>
  </si>
  <si>
    <t>Customer Name</t>
  </si>
  <si>
    <t>Mobile Number</t>
  </si>
  <si>
    <t>Whatsapp Number</t>
  </si>
  <si>
    <t>Service Start Date</t>
  </si>
  <si>
    <t>Next Renewal Date</t>
  </si>
  <si>
    <t>Customer Mapping Zone</t>
  </si>
  <si>
    <t>Smart TV Device  Name</t>
  </si>
  <si>
    <t>Payment Type</t>
  </si>
  <si>
    <t>Location</t>
  </si>
  <si>
    <t>Customer MGMT Ip</t>
  </si>
  <si>
    <t>Router Brand</t>
  </si>
  <si>
    <t>Plan Name</t>
  </si>
  <si>
    <t>Price (₹)</t>
  </si>
  <si>
    <t>Validity (Days)</t>
  </si>
  <si>
    <t>Data per Day (GB)</t>
  </si>
  <si>
    <t>Total Data (GB)</t>
  </si>
  <si>
    <t>Unlimited Calls</t>
  </si>
  <si>
    <t>SMS per Day</t>
  </si>
  <si>
    <t>Cost per Day (₹)</t>
  </si>
  <si>
    <t>₹899 Plan</t>
  </si>
  <si>
    <t>Yes</t>
  </si>
  <si>
    <t>₹999 Plan</t>
  </si>
  <si>
    <t>₹299 Plan</t>
  </si>
  <si>
    <t>₹239 Plan</t>
  </si>
  <si>
    <t>Remaining days</t>
  </si>
  <si>
    <t>Send Alert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</si>
</sst>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dddd\,\ d\ mmmm\,\ yyyy;@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1" fillId="2" borderId="1" xfId="0" applyFont="1" applyFill="1" applyBorder="1" applyAlignment="1" applyProtection="1">
      <alignment horizontal="center"/>
      <protection locked="0"/>
    </xf>
    <xf numFmtId="2" fontId="1" fillId="2" borderId="1" xfId="0" applyNumberFormat="1" applyFont="1" applyFill="1" applyBorder="1" applyAlignment="1" applyProtection="1">
      <alignment horizontal="center"/>
      <protection locked="0"/>
    </xf>
    <xf numFmtId="49" fontId="1" fillId="2" borderId="1" xfId="0" applyNumberFormat="1" applyFont="1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2" borderId="3" xfId="0" applyFont="1" applyFill="1" applyBorder="1" applyAlignment="1" applyProtection="1">
      <alignment horizontal="center"/>
      <protection locked="0"/>
    </xf>
    <xf numFmtId="0" fontId="2" fillId="2" borderId="4" xfId="0" applyFont="1" applyFill="1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2" fontId="2" fillId="2" borderId="4" xfId="0" applyNumberFormat="1" applyFont="1" applyFill="1" applyBorder="1" applyAlignment="1" applyProtection="1">
      <alignment horizontal="center"/>
    </xf>
    <xf numFmtId="0" fontId="1" fillId="2" borderId="7" xfId="0" applyFont="1" applyFill="1" applyBorder="1" applyAlignment="1" applyProtection="1">
      <alignment horizontal="center"/>
      <protection locked="0"/>
    </xf>
    <xf numFmtId="0" fontId="0" fillId="0" borderId="0" xfId="0" applyNumberFormat="1" applyBorder="1" applyAlignment="1" applyProtection="1">
      <alignment horizontal="center"/>
      <protection locked="0"/>
    </xf>
    <xf numFmtId="2" fontId="2" fillId="2" borderId="6" xfId="0" applyNumberFormat="1" applyFont="1" applyFill="1" applyBorder="1" applyAlignment="1" applyProtection="1">
      <alignment horizontal="center"/>
      <protection locked="0"/>
    </xf>
    <xf numFmtId="0" fontId="2" fillId="2" borderId="4" xfId="0" applyNumberFormat="1" applyFont="1" applyFill="1" applyBorder="1" applyAlignment="1" applyProtection="1">
      <alignment horizontal="center"/>
      <protection locked="0"/>
    </xf>
    <xf numFmtId="165" fontId="2" fillId="2" borderId="2" xfId="0" applyNumberFormat="1" applyFont="1" applyFill="1" applyBorder="1" applyAlignment="1" applyProtection="1">
      <alignment horizontal="center"/>
      <protection locked="0"/>
    </xf>
    <xf numFmtId="165" fontId="0" fillId="4" borderId="2" xfId="0" applyNumberFormat="1" applyFont="1" applyFill="1" applyBorder="1" applyAlignment="1" applyProtection="1">
      <alignment horizontal="center"/>
      <protection locked="0"/>
    </xf>
    <xf numFmtId="165" fontId="0" fillId="0" borderId="5" xfId="0" applyNumberFormat="1" applyFont="1" applyBorder="1" applyAlignment="1" applyProtection="1">
      <alignment horizontal="center"/>
      <protection locked="0"/>
    </xf>
    <xf numFmtId="165" fontId="0" fillId="4" borderId="5" xfId="0" applyNumberFormat="1" applyFont="1" applyFill="1" applyBorder="1" applyAlignment="1" applyProtection="1">
      <alignment horizontal="center"/>
      <protection locked="0"/>
    </xf>
    <xf numFmtId="165" fontId="0" fillId="0" borderId="0" xfId="0" applyNumberFormat="1" applyAlignment="1" applyProtection="1">
      <alignment horizontal="center"/>
      <protection locked="0"/>
    </xf>
    <xf numFmtId="165" fontId="2" fillId="2" borderId="4" xfId="0" applyNumberFormat="1" applyFont="1" applyFill="1" applyBorder="1" applyAlignment="1" applyProtection="1">
      <alignment horizontal="center"/>
    </xf>
    <xf numFmtId="165" fontId="0" fillId="0" borderId="0" xfId="0" applyNumberFormat="1" applyBorder="1" applyAlignment="1" applyProtection="1">
      <alignment horizontal="center"/>
    </xf>
  </cellXfs>
  <cellStyles count="1">
    <cellStyle name="Normal" xfId="0" builtinId="0"/>
  </cellStyles>
  <dxfs count="36">
    <dxf>
      <numFmt numFmtId="165" formatCode="[$-14009]dddd\,\ d\ mmmm\,\ yyyy;@"/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165" formatCode="[$-14009]dddd\,\ d\ mmmm\,\ yyyy;@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protection locked="1" hidden="0"/>
    </dxf>
    <dxf>
      <numFmt numFmtId="165" formatCode="[$-14009]dddd\,\ d\ mmmm\,\ yyyy;@"/>
      <alignment horizontal="center" vertical="bottom" textRotation="0" wrapText="0" indent="0" justifyLastLine="0" shrinkToFit="0" readingOrder="0"/>
      <protection locked="1" hidden="0"/>
    </dxf>
    <dxf>
      <font>
        <b/>
        <i val="0"/>
        <u val="none"/>
        <color theme="0"/>
      </font>
      <fill>
        <patternFill patternType="gray0625">
          <fgColor auto="1"/>
          <bgColor rgb="FFFF00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protection locked="0" hidden="0"/>
    </dxf>
    <dxf>
      <numFmt numFmtId="0" formatCode="General"/>
      <alignment horizontal="center" vertical="bottom" textRotation="0" wrapText="0" indent="0" justifyLastLine="0" shrinkToFit="0" readingOrder="0"/>
      <protection locked="0" hidden="0"/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protection locked="0" hidden="0"/>
    </dxf>
    <dxf>
      <numFmt numFmtId="0" formatCode="General"/>
      <alignment horizontal="center" vertical="bottom" textRotation="0" wrapText="0" indent="0" justifyLastLine="0" shrinkToFit="0" readingOrder="0"/>
      <protection locked="1" hidden="0"/>
    </dxf>
    <dxf>
      <border diagonalUp="0" diagonalDown="0">
        <left style="thin">
          <color indexed="64"/>
        </left>
        <right style="thin">
          <color indexed="64"/>
        </right>
      </border>
    </dxf>
    <dxf>
      <numFmt numFmtId="2" formatCode="0.00"/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2" formatCode="0.0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protection locked="1" hidden="0"/>
    </dxf>
    <dxf>
      <border diagonalUp="0" diagonalDown="0">
        <left style="thin">
          <color indexed="64"/>
        </left>
        <right style="thin">
          <color indexed="64"/>
        </right>
      </border>
    </dxf>
    <dxf>
      <border outline="0"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1/relationships/webextension" Target="../webextensions/webextens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342900</xdr:colOff>
      <xdr:row>14</xdr:row>
      <xdr:rowOff>61912</xdr:rowOff>
    </xdr:from>
    <xdr:to>
      <xdr:col>13</xdr:col>
      <xdr:colOff>657225</xdr:colOff>
      <xdr:row>25</xdr:row>
      <xdr:rowOff>61912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C367F69D-553B-4AB8-9385-88C4E0BEB0A6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C367F69D-553B-4AB8-9385-88C4E0BEB0A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4AA3689-F11A-4F06-B6F3-53D60594A13C}" name="Table6" displayName="Table6" ref="H1:H1000" totalsRowShown="0" headerRowDxfId="35" dataDxfId="33" headerRowBorderDxfId="34" tableBorderDxfId="32">
  <autoFilter ref="H1:H1000" xr:uid="{04AA3689-F11A-4F06-B6F3-53D60594A13C}"/>
  <tableColumns count="1">
    <tableColumn id="1" xr3:uid="{74872B43-4286-4927-B6A1-43A5691F2A35}" name="Validity (Days)" dataDxfId="31">
      <calculatedColumnFormula>IF(G2="","",VLOOKUP(G2,MEGHBELA!$A$2:$C$100,3,FALSE))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792C24-4ECE-4B3C-9373-8047CA94B119}" name="Table2" displayName="Table2" ref="J1:J1000" totalsRowShown="0" headerRowDxfId="1" dataDxfId="0" headerRowBorderDxfId="30" tableBorderDxfId="29">
  <autoFilter ref="J1:J1000" xr:uid="{22792C24-4ECE-4B3C-9373-8047CA94B119}"/>
  <tableColumns count="1">
    <tableColumn id="1" xr3:uid="{1042B9FC-5CE7-403B-8334-0AE6462FAED9}" name="Next Renewal Date" dataDxfId="2">
      <calculatedColumnFormula>IF(OR(I2="",H2=""),"",I2+H2)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B92DB8-407E-41C6-95B9-5B4AFA40026E}" name="Table3" displayName="Table3" ref="K1:K1000" totalsRowShown="0" headerRowDxfId="28" dataDxfId="26" headerRowBorderDxfId="27" tableBorderDxfId="25">
  <autoFilter ref="K1:K1000" xr:uid="{0DB92DB8-407E-41C6-95B9-5B4AFA40026E}"/>
  <tableColumns count="1">
    <tableColumn id="1" xr3:uid="{95A6BBB0-6D9F-431A-B3CB-D8FCFA7FCA8C}" name="Remaining days" dataDxfId="24">
      <calculatedColumnFormula>IF(J2="","",J2-TODAY())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0F2F079-91B7-4FC7-B682-B85D4B16CF1F}" name="Table4" displayName="Table4" ref="L1:L1000" totalsRowShown="0" headerRowDxfId="23" dataDxfId="21" headerRowBorderDxfId="22" tableBorderDxfId="20">
  <autoFilter ref="L1:L1000" xr:uid="{50F2F079-91B7-4FC7-B682-B85D4B16CF1F}"/>
  <tableColumns count="1">
    <tableColumn id="1" xr3:uid="{8F7E81C2-C467-4D02-BC4C-12AD73DA3EA0}" name="Send Alert" dataDxfId="19">
      <calculatedColumnFormula>IF(K2="","",
IF(K2&lt;0,
HYPERLINK("https://web.whatsapp.com/send?phone=91"&amp;F2&amp;"&amp;text=Dear%20Customer,%20your%20internet%20plan%20expired%20on%20"&amp;TEXT(J2,"dd-mm-yyyy")&amp;".%20Your%20service%20is%20now%20stopped.%20Please%20renew%20immediately%20to%20restore%20service.%0A-----TRUESPEED%20BROADBAND","Send Stop Message"),
IF(K2&lt;=3,
HYPERLINK("https://web.whatsapp.com/send?phone=91"&amp;F2&amp;"&amp;text=Dear%20Customer,%20your%20internet%20plan%20will%20expire%20in%20"&amp;K2&amp;"%20days.%20Please%20renew%20before%20"&amp;TEXT(J2,"dd-mm-yyyy")&amp;".%0A-----TRUESPEED%20BROADBAND","Send Renewal Alert"),
"")))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762C2CE-685A-4F4D-BD99-4405791F47AB}" name="Table5" displayName="Table5" ref="F1:F1000" totalsRowShown="0" headerRowDxfId="18" dataDxfId="16" headerRowBorderDxfId="17" tableBorderDxfId="15">
  <autoFilter ref="F1:F1000" xr:uid="{2762C2CE-685A-4F4D-BD99-4405791F47AB}"/>
  <tableColumns count="1">
    <tableColumn id="1" xr3:uid="{9E9ACE29-6A73-4FAD-B828-632EF0DE2960}" name="Whatsapp Number" dataDxfId="1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B48BB9-4959-4D73-9599-F5DC1A03FD71}" name="PlanList" displayName="PlanList" ref="A1:H5" totalsRowShown="0" headerRowDxfId="13" dataDxfId="12">
  <autoFilter ref="A1:H5" xr:uid="{29B48BB9-4959-4D73-9599-F5DC1A03FD71}"/>
  <tableColumns count="8">
    <tableColumn id="1" xr3:uid="{89907657-2428-4CA3-9EAE-976B747C9B19}" name="Plan Name" dataDxfId="11"/>
    <tableColumn id="2" xr3:uid="{4984C4DA-8F5E-45A4-8BD9-5709EF32E844}" name="Price (₹)" dataDxfId="10"/>
    <tableColumn id="3" xr3:uid="{DF4FE7CB-06C8-458A-9B39-7050598B46EE}" name="Validity (Days)" dataDxfId="9"/>
    <tableColumn id="4" xr3:uid="{186900A3-4B38-47FD-B375-5230A65D8B57}" name="Data per Day (GB)" dataDxfId="8"/>
    <tableColumn id="5" xr3:uid="{A44F532E-618E-428B-B663-E7E6FE2128CC}" name="Total Data (GB)" dataDxfId="7">
      <calculatedColumnFormula>C2*D2</calculatedColumnFormula>
    </tableColumn>
    <tableColumn id="6" xr3:uid="{14343512-586C-440B-A9BB-4AC090B6B47F}" name="Unlimited Calls" dataDxfId="6"/>
    <tableColumn id="7" xr3:uid="{1E6787F6-EE21-4B64-8853-E02DA238C02F}" name="SMS per Day" dataDxfId="5"/>
    <tableColumn id="8" xr3:uid="{5101D16B-760B-44E2-A76B-95FED84E8596}" name="Cost per Day (₹)" dataDxfId="4">
      <calculatedColumnFormula>B2/C2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2.xml"/></Relationships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367F69D-553B-4AB8-9385-88C4E0BEB0A6}">
  <we:reference id="wa102957665" version="1.3.0.0" store="en-US" storeType="OMEX"/>
  <we:alternateReferences>
    <we:reference id="wa102957665" version="1.3.0.0" store="wa102957665" storeType="OMEX"/>
  </we:alternateReferences>
  <we:properties>
    <we:property name="opt_month" value="&quot;2026-03-01&quot;"/>
  </we:properties>
  <we:bindings/>
  <we:snapshot xmlns:r="http://schemas.openxmlformats.org/officeDocument/2006/relationships" r:embed="rId1"/>
</we:webextension>
</file>

<file path=xl/webextensions/webextension2.xml><?xml version="1.0" encoding="utf-8"?>
<we:webextension xmlns:we="http://schemas.microsoft.com/office/webextensions/webextension/2010/11" id="{55986FA9-5199-48B7-AB80-7E1189C577CD}">
  <we:reference id="wa103296784" version="1.1.0.0" store="en-US" storeType="OMEX"/>
  <we:alternateReferences>
    <we:reference id="WA103296784" version="1.1.0.0" store="WA10329678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topLeftCell="E1" zoomScaleNormal="100" workbookViewId="0">
      <selection activeCell="I31" sqref="I31"/>
    </sheetView>
  </sheetViews>
  <sheetFormatPr defaultColWidth="41" defaultRowHeight="15" zeroHeight="1" x14ac:dyDescent="0.25"/>
  <cols>
    <col min="1" max="1" width="15.7109375" style="7" bestFit="1" customWidth="1"/>
    <col min="2" max="2" width="20" style="7" bestFit="1" customWidth="1"/>
    <col min="3" max="3" width="19.85546875" style="7" bestFit="1" customWidth="1"/>
    <col min="4" max="4" width="25.28515625" style="7" bestFit="1" customWidth="1"/>
    <col min="5" max="5" width="19.5703125" style="7" bestFit="1" customWidth="1"/>
    <col min="6" max="6" width="23.42578125" style="13" customWidth="1"/>
    <col min="7" max="7" width="12.140625" style="7" customWidth="1"/>
    <col min="8" max="8" width="29.140625" style="10" customWidth="1"/>
    <col min="9" max="9" width="29.7109375" style="20" bestFit="1" customWidth="1"/>
    <col min="10" max="10" width="31.42578125" style="22" customWidth="1"/>
    <col min="11" max="11" width="23.5703125" style="10" customWidth="1"/>
    <col min="12" max="12" width="21.7109375" style="7" customWidth="1"/>
    <col min="13" max="13" width="29.5703125" style="7" bestFit="1" customWidth="1"/>
    <col min="14" max="14" width="28.140625" style="7" bestFit="1" customWidth="1"/>
    <col min="15" max="15" width="16.5703125" style="7" bestFit="1" customWidth="1"/>
    <col min="16" max="16" width="17.5703125" style="7" bestFit="1" customWidth="1"/>
    <col min="17" max="17" width="10.85546875" style="7" bestFit="1" customWidth="1"/>
    <col min="18" max="16384" width="41" style="7"/>
  </cols>
  <sheetData>
    <row r="1" spans="1:18" ht="18.75" x14ac:dyDescent="0.3">
      <c r="A1" s="3" t="s">
        <v>0</v>
      </c>
      <c r="B1" s="3" t="s">
        <v>2</v>
      </c>
      <c r="C1" s="3" t="s">
        <v>3</v>
      </c>
      <c r="D1" s="3" t="s">
        <v>12</v>
      </c>
      <c r="E1" s="8" t="s">
        <v>4</v>
      </c>
      <c r="F1" s="15" t="s">
        <v>5</v>
      </c>
      <c r="G1" s="12" t="s">
        <v>1</v>
      </c>
      <c r="H1" s="9" t="s">
        <v>16</v>
      </c>
      <c r="I1" s="16" t="s">
        <v>6</v>
      </c>
      <c r="J1" s="21" t="s">
        <v>7</v>
      </c>
      <c r="K1" s="11" t="s">
        <v>27</v>
      </c>
      <c r="L1" s="14" t="s">
        <v>28</v>
      </c>
      <c r="M1" s="4" t="s">
        <v>8</v>
      </c>
      <c r="N1" s="5" t="s">
        <v>9</v>
      </c>
      <c r="O1" s="5" t="s">
        <v>13</v>
      </c>
      <c r="P1" s="3" t="s">
        <v>10</v>
      </c>
      <c r="Q1" s="3" t="s">
        <v>11</v>
      </c>
      <c r="R1" s="6"/>
    </row>
    <row r="2" spans="1:18" x14ac:dyDescent="0.25">
      <c r="G2" s="7" t="s">
        <v>26</v>
      </c>
      <c r="H2" s="10">
        <f>IF(G2="","",VLOOKUP(G2,MEGHBELA!$A$2:$C$100,3,FALSE))</f>
        <v>24</v>
      </c>
      <c r="I2" s="17">
        <v>46091</v>
      </c>
      <c r="J2" s="22">
        <f>IF(OR(I2="",H2=""),"",I2+H2)</f>
        <v>46115</v>
      </c>
      <c r="K2" s="10">
        <f ca="1">IF(J2="","",J2-TODAY())</f>
        <v>26</v>
      </c>
      <c r="L2" s="7" t="str">
        <f t="shared" ref="L2:L65" ca="1" si="0">IF(K2="","",
IF(K2&lt;0,
HYPERLINK("https://web.whatsapp.com/send?phone=91"&amp;F2&amp;"&amp;text=Dear%20Customer,%20your%20internet%20plan%20expired%20on%20"&amp;TEXT(J2,"dd-mm-yyyy")&amp;".%20Your%20service%20is%20now%20stopped.%20Please%20renew%20immediately%20to%20restore%20service.%0A-----TRUESPEED%20BROADBAND","Send Stop Message"),
IF(K2&lt;=3,
HYPERLINK("https://web.whatsapp.com/send?phone=91"&amp;F2&amp;"&amp;text=Dear%20Customer,%20your%20internet%20plan%20will%20expire%20in%20"&amp;K2&amp;"%20days.%20Please%20renew%20before%20"&amp;TEXT(J2,"dd-mm-yyyy")&amp;".%0A-----TRUESPEED%20BROADBAND","Send Renewal Alert"),
"")))</f>
        <v/>
      </c>
    </row>
    <row r="3" spans="1:18" x14ac:dyDescent="0.25">
      <c r="G3" s="7" t="s">
        <v>25</v>
      </c>
      <c r="H3" s="10">
        <f>IF(G3="","",VLOOKUP(G3,MEGHBELA!$A$2:$C$100,3,FALSE))</f>
        <v>28</v>
      </c>
      <c r="I3" s="18">
        <v>46077</v>
      </c>
      <c r="J3" s="22">
        <f t="shared" ref="J3:J65" si="1">IF(OR(I3="",H3=""),"",I3+H3)</f>
        <v>46105</v>
      </c>
      <c r="K3" s="10">
        <f t="shared" ref="K3:K65" ca="1" si="2">IF(J3="","",J3-TODAY())</f>
        <v>16</v>
      </c>
      <c r="L3" s="7" t="str">
        <f t="shared" ca="1" si="0"/>
        <v/>
      </c>
    </row>
    <row r="4" spans="1:18" x14ac:dyDescent="0.25">
      <c r="F4" s="13">
        <v>9749252118</v>
      </c>
      <c r="G4" s="7" t="s">
        <v>25</v>
      </c>
      <c r="H4" s="10">
        <f>IF(G4="","",VLOOKUP(G4,MEGHBELA!$A$2:$C$100,3,FALSE))</f>
        <v>28</v>
      </c>
      <c r="I4" s="19">
        <v>46061</v>
      </c>
      <c r="J4" s="22">
        <f t="shared" si="1"/>
        <v>46089</v>
      </c>
      <c r="K4" s="10">
        <f t="shared" ca="1" si="2"/>
        <v>0</v>
      </c>
      <c r="L4" s="7" t="str">
        <f t="shared" ca="1" si="0"/>
        <v>Send Renewal Alert</v>
      </c>
    </row>
    <row r="5" spans="1:18" x14ac:dyDescent="0.25">
      <c r="G5" s="7" t="s">
        <v>25</v>
      </c>
      <c r="H5" s="10">
        <f>IF(G5="","",VLOOKUP(G5,MEGHBELA!$A$2:$C$100,3,FALSE))</f>
        <v>28</v>
      </c>
      <c r="I5" s="18">
        <v>46080</v>
      </c>
      <c r="J5" s="22">
        <f t="shared" si="1"/>
        <v>46108</v>
      </c>
      <c r="K5" s="10">
        <f t="shared" ca="1" si="2"/>
        <v>19</v>
      </c>
      <c r="L5" s="7" t="str">
        <f t="shared" ca="1" si="0"/>
        <v/>
      </c>
    </row>
    <row r="6" spans="1:18" x14ac:dyDescent="0.25">
      <c r="G6" s="7" t="s">
        <v>26</v>
      </c>
      <c r="H6" s="10">
        <f>IF(G6="","",VLOOKUP(G6,MEGHBELA!$A$2:$C$100,3,FALSE))</f>
        <v>24</v>
      </c>
      <c r="I6" s="19">
        <v>46078</v>
      </c>
      <c r="J6" s="22">
        <f t="shared" si="1"/>
        <v>46102</v>
      </c>
      <c r="K6" s="10">
        <f t="shared" ca="1" si="2"/>
        <v>13</v>
      </c>
      <c r="L6" s="7" t="str">
        <f t="shared" ca="1" si="0"/>
        <v/>
      </c>
    </row>
    <row r="7" spans="1:18" x14ac:dyDescent="0.25">
      <c r="G7" s="7" t="s">
        <v>22</v>
      </c>
      <c r="H7" s="10">
        <f>IF(G7="","",VLOOKUP(G7,MEGHBELA!$A$2:$C$100,3,FALSE))</f>
        <v>90</v>
      </c>
      <c r="I7" s="18">
        <v>46079</v>
      </c>
      <c r="J7" s="22">
        <f t="shared" si="1"/>
        <v>46169</v>
      </c>
      <c r="K7" s="10">
        <f t="shared" ca="1" si="2"/>
        <v>80</v>
      </c>
      <c r="L7" s="7" t="str">
        <f t="shared" ca="1" si="0"/>
        <v/>
      </c>
    </row>
    <row r="8" spans="1:18" x14ac:dyDescent="0.25">
      <c r="G8" s="7" t="s">
        <v>25</v>
      </c>
      <c r="H8" s="10">
        <f>IF(G8="","",VLOOKUP(G8,MEGHBELA!$A$2:$C$100,3,FALSE))</f>
        <v>28</v>
      </c>
      <c r="I8" s="19">
        <v>46060</v>
      </c>
      <c r="J8" s="22">
        <f t="shared" si="1"/>
        <v>46088</v>
      </c>
      <c r="K8" s="10">
        <f t="shared" ca="1" si="2"/>
        <v>-1</v>
      </c>
      <c r="L8" s="7" t="str">
        <f t="shared" ca="1" si="0"/>
        <v>Send Stop Message</v>
      </c>
    </row>
    <row r="9" spans="1:18" x14ac:dyDescent="0.25">
      <c r="G9" s="7" t="s">
        <v>25</v>
      </c>
      <c r="H9" s="10">
        <f>IF(G9="","",VLOOKUP(G9,MEGHBELA!$A$2:$C$100,3,FALSE))</f>
        <v>28</v>
      </c>
      <c r="I9" s="18">
        <v>46058</v>
      </c>
      <c r="J9" s="22">
        <f t="shared" si="1"/>
        <v>46086</v>
      </c>
      <c r="K9" s="10">
        <f t="shared" ca="1" si="2"/>
        <v>-3</v>
      </c>
      <c r="L9" s="7" t="str">
        <f t="shared" ca="1" si="0"/>
        <v>Send Stop Message</v>
      </c>
    </row>
    <row r="10" spans="1:18" x14ac:dyDescent="0.25">
      <c r="G10" s="7" t="s">
        <v>22</v>
      </c>
      <c r="H10" s="10">
        <f>IF(G10="","",VLOOKUP(G10,MEGHBELA!$A$2:$C$100,3,FALSE))</f>
        <v>90</v>
      </c>
      <c r="I10" s="19">
        <v>45992</v>
      </c>
      <c r="J10" s="22">
        <f t="shared" si="1"/>
        <v>46082</v>
      </c>
      <c r="K10" s="10">
        <f t="shared" ca="1" si="2"/>
        <v>-7</v>
      </c>
      <c r="L10" s="7" t="str">
        <f t="shared" ca="1" si="0"/>
        <v>Send Stop Message</v>
      </c>
    </row>
    <row r="11" spans="1:18" x14ac:dyDescent="0.25">
      <c r="G11" s="7" t="s">
        <v>25</v>
      </c>
      <c r="H11" s="10">
        <f>IF(G11="","",VLOOKUP(G11,MEGHBELA!$A$2:$C$100,3,FALSE))</f>
        <v>28</v>
      </c>
      <c r="I11" s="18">
        <v>46022</v>
      </c>
      <c r="J11" s="22">
        <f t="shared" si="1"/>
        <v>46050</v>
      </c>
      <c r="K11" s="10">
        <f t="shared" ca="1" si="2"/>
        <v>-39</v>
      </c>
      <c r="L11" s="7" t="str">
        <f t="shared" ca="1" si="0"/>
        <v>Send Stop Message</v>
      </c>
    </row>
    <row r="12" spans="1:18" x14ac:dyDescent="0.25">
      <c r="G12" s="7" t="s">
        <v>25</v>
      </c>
      <c r="H12" s="10">
        <f>IF(G12="","",VLOOKUP(G12,MEGHBELA!$A$2:$C$100,3,FALSE))</f>
        <v>28</v>
      </c>
      <c r="I12" s="19">
        <v>46069</v>
      </c>
      <c r="J12" s="22">
        <f t="shared" si="1"/>
        <v>46097</v>
      </c>
      <c r="K12" s="10">
        <f t="shared" ca="1" si="2"/>
        <v>8</v>
      </c>
      <c r="L12" s="7" t="str">
        <f t="shared" ca="1" si="0"/>
        <v/>
      </c>
    </row>
    <row r="13" spans="1:18" x14ac:dyDescent="0.25">
      <c r="G13" s="7" t="s">
        <v>25</v>
      </c>
      <c r="H13" s="10">
        <f>IF(G13="","",VLOOKUP(G13,MEGHBELA!$A$2:$C$100,3,FALSE))</f>
        <v>28</v>
      </c>
      <c r="I13" s="18">
        <v>46078</v>
      </c>
      <c r="J13" s="22">
        <f t="shared" si="1"/>
        <v>46106</v>
      </c>
      <c r="K13" s="10">
        <f t="shared" ca="1" si="2"/>
        <v>17</v>
      </c>
      <c r="L13" s="7" t="str">
        <f t="shared" ca="1" si="0"/>
        <v/>
      </c>
    </row>
    <row r="14" spans="1:18" x14ac:dyDescent="0.25">
      <c r="F14" s="13">
        <v>8370984399</v>
      </c>
      <c r="G14" s="7" t="s">
        <v>26</v>
      </c>
      <c r="H14" s="10">
        <f>IF(G14="","",VLOOKUP(G14,MEGHBELA!$A$2:$C$100,3,FALSE))</f>
        <v>24</v>
      </c>
      <c r="I14" s="19">
        <v>46057</v>
      </c>
      <c r="J14" s="22">
        <f t="shared" si="1"/>
        <v>46081</v>
      </c>
      <c r="K14" s="10">
        <f t="shared" ca="1" si="2"/>
        <v>-8</v>
      </c>
      <c r="L14" s="7" t="str">
        <f t="shared" ca="1" si="0"/>
        <v>Send Stop Message</v>
      </c>
    </row>
    <row r="15" spans="1:18" x14ac:dyDescent="0.25">
      <c r="G15" s="7" t="s">
        <v>26</v>
      </c>
      <c r="H15" s="10">
        <f>IF(G15="","",VLOOKUP(G15,MEGHBELA!$A$2:$C$100,3,FALSE))</f>
        <v>24</v>
      </c>
      <c r="I15" s="18">
        <v>46083</v>
      </c>
      <c r="J15" s="22">
        <f t="shared" si="1"/>
        <v>46107</v>
      </c>
      <c r="K15" s="10">
        <f t="shared" ca="1" si="2"/>
        <v>18</v>
      </c>
      <c r="L15" s="7" t="str">
        <f t="shared" ca="1" si="0"/>
        <v/>
      </c>
    </row>
    <row r="16" spans="1:18" x14ac:dyDescent="0.25">
      <c r="G16" s="7" t="s">
        <v>25</v>
      </c>
      <c r="H16" s="10">
        <f>IF(G16="","",VLOOKUP(G16,MEGHBELA!$A$2:$C$100,3,FALSE))</f>
        <v>28</v>
      </c>
      <c r="I16" s="19">
        <v>46062</v>
      </c>
      <c r="J16" s="22">
        <f t="shared" si="1"/>
        <v>46090</v>
      </c>
      <c r="K16" s="10">
        <f t="shared" ca="1" si="2"/>
        <v>1</v>
      </c>
      <c r="L16" s="7" t="str">
        <f t="shared" ca="1" si="0"/>
        <v>Send Renewal Alert</v>
      </c>
    </row>
    <row r="17" spans="7:12" x14ac:dyDescent="0.25">
      <c r="G17" s="7" t="s">
        <v>24</v>
      </c>
      <c r="H17" s="10">
        <f>IF(G17="","",VLOOKUP(G17,MEGHBELA!$A$2:$C$100,3,FALSE))</f>
        <v>98</v>
      </c>
      <c r="I17" s="18">
        <v>46069</v>
      </c>
      <c r="J17" s="22">
        <f t="shared" si="1"/>
        <v>46167</v>
      </c>
      <c r="K17" s="10">
        <f t="shared" ca="1" si="2"/>
        <v>78</v>
      </c>
      <c r="L17" s="7" t="str">
        <f t="shared" ca="1" si="0"/>
        <v/>
      </c>
    </row>
    <row r="18" spans="7:12" x14ac:dyDescent="0.25">
      <c r="G18" s="7" t="s">
        <v>26</v>
      </c>
      <c r="H18" s="10">
        <f>IF(G18="","",VLOOKUP(G18,MEGHBELA!$A$2:$C$100,3,FALSE))</f>
        <v>24</v>
      </c>
      <c r="I18" s="19">
        <v>46054</v>
      </c>
      <c r="J18" s="22">
        <f t="shared" si="1"/>
        <v>46078</v>
      </c>
      <c r="K18" s="10">
        <f t="shared" ca="1" si="2"/>
        <v>-11</v>
      </c>
      <c r="L18" s="7" t="str">
        <f t="shared" ca="1" si="0"/>
        <v>Send Stop Message</v>
      </c>
    </row>
    <row r="19" spans="7:12" x14ac:dyDescent="0.25">
      <c r="G19" s="7" t="s">
        <v>24</v>
      </c>
      <c r="H19" s="10">
        <f>IF(G19="","",VLOOKUP(G19,MEGHBELA!$A$2:$C$100,3,FALSE))</f>
        <v>98</v>
      </c>
      <c r="I19" s="18">
        <v>46063</v>
      </c>
      <c r="J19" s="22">
        <f t="shared" si="1"/>
        <v>46161</v>
      </c>
      <c r="K19" s="10">
        <f t="shared" ca="1" si="2"/>
        <v>72</v>
      </c>
      <c r="L19" s="7" t="str">
        <f t="shared" ca="1" si="0"/>
        <v/>
      </c>
    </row>
    <row r="20" spans="7:12" x14ac:dyDescent="0.25">
      <c r="G20" s="7" t="s">
        <v>24</v>
      </c>
      <c r="H20" s="10">
        <f>IF(G20="","",VLOOKUP(G20,MEGHBELA!$A$2:$C$100,3,FALSE))</f>
        <v>98</v>
      </c>
      <c r="I20" s="19">
        <v>46359</v>
      </c>
      <c r="J20" s="22">
        <f t="shared" si="1"/>
        <v>46457</v>
      </c>
      <c r="K20" s="10">
        <f t="shared" ca="1" si="2"/>
        <v>368</v>
      </c>
      <c r="L20" s="7" t="str">
        <f t="shared" ca="1" si="0"/>
        <v/>
      </c>
    </row>
    <row r="21" spans="7:12" x14ac:dyDescent="0.25">
      <c r="G21" s="7" t="s">
        <v>25</v>
      </c>
      <c r="H21" s="10">
        <f>IF(G21="","",VLOOKUP(G21,MEGHBELA!$A$2:$C$100,3,FALSE))</f>
        <v>28</v>
      </c>
      <c r="I21" s="18">
        <v>46093</v>
      </c>
      <c r="J21" s="22">
        <f t="shared" si="1"/>
        <v>46121</v>
      </c>
      <c r="K21" s="10">
        <f t="shared" ca="1" si="2"/>
        <v>32</v>
      </c>
      <c r="L21" s="7" t="str">
        <f t="shared" ca="1" si="0"/>
        <v/>
      </c>
    </row>
    <row r="22" spans="7:12" x14ac:dyDescent="0.25">
      <c r="G22" s="7" t="s">
        <v>26</v>
      </c>
      <c r="H22" s="10">
        <f>IF(G22="","",VLOOKUP(G22,MEGHBELA!$A$2:$C$100,3,FALSE))</f>
        <v>24</v>
      </c>
      <c r="I22" s="19">
        <v>46089</v>
      </c>
      <c r="J22" s="22">
        <f t="shared" si="1"/>
        <v>46113</v>
      </c>
      <c r="K22" s="10">
        <f t="shared" ca="1" si="2"/>
        <v>24</v>
      </c>
      <c r="L22" s="7" t="str">
        <f t="shared" ca="1" si="0"/>
        <v/>
      </c>
    </row>
    <row r="23" spans="7:12" x14ac:dyDescent="0.25">
      <c r="H23" s="10" t="str">
        <f>IF(G23="","",VLOOKUP(G23,MEGHBELA!$A$2:$C$100,3,FALSE))</f>
        <v/>
      </c>
      <c r="I23" s="18"/>
      <c r="J23" s="22" t="str">
        <f t="shared" si="1"/>
        <v/>
      </c>
      <c r="K23" s="10" t="str">
        <f t="shared" ca="1" si="2"/>
        <v/>
      </c>
      <c r="L23" s="7" t="str">
        <f t="shared" ca="1" si="0"/>
        <v/>
      </c>
    </row>
    <row r="24" spans="7:12" x14ac:dyDescent="0.25">
      <c r="H24" s="10" t="str">
        <f>IF(G24="","",VLOOKUP(G24,MEGHBELA!$A$2:$C$100,3,FALSE))</f>
        <v/>
      </c>
      <c r="I24" s="19"/>
      <c r="J24" s="22" t="str">
        <f t="shared" si="1"/>
        <v/>
      </c>
      <c r="K24" s="10" t="str">
        <f t="shared" ca="1" si="2"/>
        <v/>
      </c>
      <c r="L24" s="7" t="str">
        <f t="shared" ca="1" si="0"/>
        <v/>
      </c>
    </row>
    <row r="25" spans="7:12" x14ac:dyDescent="0.25">
      <c r="H25" s="10" t="str">
        <f>IF(G25="","",VLOOKUP(G25,MEGHBELA!$A$2:$C$100,3,FALSE))</f>
        <v/>
      </c>
      <c r="I25" s="18"/>
      <c r="J25" s="22" t="str">
        <f t="shared" si="1"/>
        <v/>
      </c>
      <c r="K25" s="10" t="str">
        <f t="shared" ca="1" si="2"/>
        <v/>
      </c>
      <c r="L25" s="7" t="str">
        <f t="shared" ca="1" si="0"/>
        <v/>
      </c>
    </row>
    <row r="26" spans="7:12" x14ac:dyDescent="0.25">
      <c r="H26" s="10" t="str">
        <f>IF(G26="","",VLOOKUP(G26,MEGHBELA!$A$2:$C$100,3,FALSE))</f>
        <v/>
      </c>
      <c r="I26" s="19"/>
      <c r="J26" s="22" t="str">
        <f t="shared" si="1"/>
        <v/>
      </c>
      <c r="K26" s="10" t="str">
        <f t="shared" ca="1" si="2"/>
        <v/>
      </c>
      <c r="L26" s="7" t="str">
        <f t="shared" ca="1" si="0"/>
        <v/>
      </c>
    </row>
    <row r="27" spans="7:12" x14ac:dyDescent="0.25">
      <c r="H27" s="10" t="str">
        <f>IF(G27="","",VLOOKUP(G27,MEGHBELA!$A$2:$C$100,3,FALSE))</f>
        <v/>
      </c>
      <c r="I27" s="18"/>
      <c r="J27" s="22" t="str">
        <f t="shared" si="1"/>
        <v/>
      </c>
      <c r="K27" s="10" t="str">
        <f t="shared" ca="1" si="2"/>
        <v/>
      </c>
      <c r="L27" s="7" t="str">
        <f t="shared" ca="1" si="0"/>
        <v/>
      </c>
    </row>
    <row r="28" spans="7:12" x14ac:dyDescent="0.25">
      <c r="H28" s="10" t="str">
        <f>IF(G28="","",VLOOKUP(G28,MEGHBELA!$A$2:$C$100,3,FALSE))</f>
        <v/>
      </c>
      <c r="I28" s="19"/>
      <c r="J28" s="22" t="str">
        <f t="shared" si="1"/>
        <v/>
      </c>
      <c r="K28" s="10" t="str">
        <f t="shared" ca="1" si="2"/>
        <v/>
      </c>
      <c r="L28" s="7" t="str">
        <f t="shared" ca="1" si="0"/>
        <v/>
      </c>
    </row>
    <row r="29" spans="7:12" x14ac:dyDescent="0.25">
      <c r="G29" s="7" t="s">
        <v>24</v>
      </c>
      <c r="H29" s="10">
        <f>IF(G29="","",VLOOKUP(G29,MEGHBELA!$A$2:$C$100,3,FALSE))</f>
        <v>98</v>
      </c>
      <c r="I29" s="18">
        <v>46091</v>
      </c>
      <c r="J29" s="22">
        <f t="shared" si="1"/>
        <v>46189</v>
      </c>
      <c r="K29" s="10">
        <f t="shared" ca="1" si="2"/>
        <v>100</v>
      </c>
      <c r="L29" s="7" t="str">
        <f t="shared" ca="1" si="0"/>
        <v/>
      </c>
    </row>
    <row r="30" spans="7:12" x14ac:dyDescent="0.25">
      <c r="H30" s="10" t="str">
        <f>IF(G30="","",VLOOKUP(G30,MEGHBELA!$A$2:$C$100,3,FALSE))</f>
        <v/>
      </c>
      <c r="I30" s="19"/>
      <c r="J30" s="22" t="str">
        <f t="shared" si="1"/>
        <v/>
      </c>
      <c r="K30" s="10" t="str">
        <f t="shared" ca="1" si="2"/>
        <v/>
      </c>
      <c r="L30" s="7" t="str">
        <f t="shared" ca="1" si="0"/>
        <v/>
      </c>
    </row>
    <row r="31" spans="7:12" x14ac:dyDescent="0.25">
      <c r="G31" s="7" t="s">
        <v>26</v>
      </c>
      <c r="H31" s="10">
        <f>IF(G31="","",VLOOKUP(G31,MEGHBELA!$A$2:$C$100,3,FALSE))</f>
        <v>24</v>
      </c>
      <c r="I31" s="18">
        <v>46089</v>
      </c>
      <c r="J31" s="22">
        <f>IF(OR(I31="",H31=""),"",I31+H31)</f>
        <v>46113</v>
      </c>
      <c r="K31" s="10">
        <f t="shared" ca="1" si="2"/>
        <v>24</v>
      </c>
      <c r="L31" s="7" t="str">
        <f t="shared" ca="1" si="0"/>
        <v/>
      </c>
    </row>
    <row r="32" spans="7:12" x14ac:dyDescent="0.25">
      <c r="H32" s="10" t="str">
        <f>IF(G32="","",VLOOKUP(G32,MEGHBELA!$A$2:$C$100,3,FALSE))</f>
        <v/>
      </c>
      <c r="I32" s="19"/>
      <c r="J32" s="22" t="str">
        <f t="shared" si="1"/>
        <v/>
      </c>
      <c r="K32" s="10" t="str">
        <f t="shared" ca="1" si="2"/>
        <v/>
      </c>
      <c r="L32" s="7" t="str">
        <f t="shared" ca="1" si="0"/>
        <v/>
      </c>
    </row>
    <row r="33" spans="8:12" x14ac:dyDescent="0.25">
      <c r="H33" s="10" t="str">
        <f>IF(G33="","",VLOOKUP(G33,MEGHBELA!$A$2:$C$100,3,FALSE))</f>
        <v/>
      </c>
      <c r="I33" s="18"/>
      <c r="J33" s="22" t="str">
        <f t="shared" si="1"/>
        <v/>
      </c>
      <c r="K33" s="10" t="str">
        <f t="shared" ca="1" si="2"/>
        <v/>
      </c>
      <c r="L33" s="7" t="str">
        <f t="shared" ca="1" si="0"/>
        <v/>
      </c>
    </row>
    <row r="34" spans="8:12" x14ac:dyDescent="0.25">
      <c r="H34" s="10" t="str">
        <f>IF(G34="","",VLOOKUP(G34,MEGHBELA!$A$2:$C$100,3,FALSE))</f>
        <v/>
      </c>
      <c r="I34" s="19"/>
      <c r="J34" s="22" t="str">
        <f t="shared" si="1"/>
        <v/>
      </c>
      <c r="K34" s="10" t="str">
        <f t="shared" ca="1" si="2"/>
        <v/>
      </c>
      <c r="L34" s="7" t="str">
        <f t="shared" ca="1" si="0"/>
        <v/>
      </c>
    </row>
    <row r="35" spans="8:12" x14ac:dyDescent="0.25">
      <c r="H35" s="10" t="str">
        <f>IF(G35="","",VLOOKUP(G35,MEGHBELA!$A$2:$C$100,3,FALSE))</f>
        <v/>
      </c>
      <c r="I35" s="18"/>
      <c r="J35" s="22" t="str">
        <f t="shared" si="1"/>
        <v/>
      </c>
      <c r="K35" s="10" t="str">
        <f t="shared" ca="1" si="2"/>
        <v/>
      </c>
      <c r="L35" s="7" t="str">
        <f t="shared" ca="1" si="0"/>
        <v/>
      </c>
    </row>
    <row r="36" spans="8:12" x14ac:dyDescent="0.25">
      <c r="H36" s="10" t="str">
        <f>IF(G36="","",VLOOKUP(G36,MEGHBELA!$A$2:$C$100,3,FALSE))</f>
        <v/>
      </c>
      <c r="I36" s="19"/>
      <c r="J36" s="22" t="str">
        <f t="shared" si="1"/>
        <v/>
      </c>
      <c r="K36" s="10" t="str">
        <f t="shared" ca="1" si="2"/>
        <v/>
      </c>
      <c r="L36" s="7" t="str">
        <f t="shared" ca="1" si="0"/>
        <v/>
      </c>
    </row>
    <row r="37" spans="8:12" x14ac:dyDescent="0.25">
      <c r="H37" s="10" t="str">
        <f>IF(G37="","",VLOOKUP(G37,MEGHBELA!$A$2:$C$100,3,FALSE))</f>
        <v/>
      </c>
      <c r="I37" s="18"/>
      <c r="J37" s="22" t="str">
        <f t="shared" si="1"/>
        <v/>
      </c>
      <c r="K37" s="10" t="str">
        <f t="shared" ca="1" si="2"/>
        <v/>
      </c>
      <c r="L37" s="7" t="str">
        <f t="shared" ca="1" si="0"/>
        <v/>
      </c>
    </row>
    <row r="38" spans="8:12" x14ac:dyDescent="0.25">
      <c r="H38" s="10" t="str">
        <f>IF(G38="","",VLOOKUP(G38,MEGHBELA!$A$2:$C$100,3,FALSE))</f>
        <v/>
      </c>
      <c r="I38" s="19"/>
      <c r="J38" s="22" t="str">
        <f t="shared" si="1"/>
        <v/>
      </c>
      <c r="K38" s="10" t="str">
        <f t="shared" ca="1" si="2"/>
        <v/>
      </c>
      <c r="L38" s="7" t="str">
        <f t="shared" ca="1" si="0"/>
        <v/>
      </c>
    </row>
    <row r="39" spans="8:12" x14ac:dyDescent="0.25">
      <c r="H39" s="10" t="str">
        <f>IF(G39="","",VLOOKUP(G39,MEGHBELA!$A$2:$C$100,3,FALSE))</f>
        <v/>
      </c>
      <c r="I39" s="18"/>
      <c r="J39" s="22" t="str">
        <f t="shared" si="1"/>
        <v/>
      </c>
      <c r="K39" s="10" t="str">
        <f t="shared" ca="1" si="2"/>
        <v/>
      </c>
      <c r="L39" s="7" t="str">
        <f t="shared" ca="1" si="0"/>
        <v/>
      </c>
    </row>
    <row r="40" spans="8:12" x14ac:dyDescent="0.25">
      <c r="H40" s="10" t="str">
        <f>IF(G40="","",VLOOKUP(G40,MEGHBELA!$A$2:$C$100,3,FALSE))</f>
        <v/>
      </c>
      <c r="I40" s="19"/>
      <c r="J40" s="22" t="str">
        <f t="shared" si="1"/>
        <v/>
      </c>
      <c r="K40" s="10" t="str">
        <f t="shared" ca="1" si="2"/>
        <v/>
      </c>
      <c r="L40" s="7" t="str">
        <f t="shared" ca="1" si="0"/>
        <v/>
      </c>
    </row>
    <row r="41" spans="8:12" x14ac:dyDescent="0.25">
      <c r="H41" s="10" t="str">
        <f>IF(G41="","",VLOOKUP(G41,MEGHBELA!$A$2:$C$100,3,FALSE))</f>
        <v/>
      </c>
      <c r="I41" s="18"/>
      <c r="J41" s="22" t="str">
        <f t="shared" si="1"/>
        <v/>
      </c>
      <c r="K41" s="10" t="str">
        <f t="shared" ca="1" si="2"/>
        <v/>
      </c>
      <c r="L41" s="7" t="str">
        <f t="shared" ca="1" si="0"/>
        <v/>
      </c>
    </row>
    <row r="42" spans="8:12" x14ac:dyDescent="0.25">
      <c r="H42" s="10" t="str">
        <f>IF(G42="","",VLOOKUP(G42,MEGHBELA!$A$2:$C$100,3,FALSE))</f>
        <v/>
      </c>
      <c r="I42" s="19"/>
      <c r="J42" s="22" t="str">
        <f t="shared" si="1"/>
        <v/>
      </c>
      <c r="K42" s="10" t="str">
        <f t="shared" ca="1" si="2"/>
        <v/>
      </c>
      <c r="L42" s="7" t="str">
        <f t="shared" ca="1" si="0"/>
        <v/>
      </c>
    </row>
    <row r="43" spans="8:12" x14ac:dyDescent="0.25">
      <c r="H43" s="10" t="str">
        <f>IF(G43="","",VLOOKUP(G43,MEGHBELA!$A$2:$C$100,3,FALSE))</f>
        <v/>
      </c>
      <c r="I43" s="18"/>
      <c r="J43" s="22" t="str">
        <f t="shared" si="1"/>
        <v/>
      </c>
      <c r="K43" s="10" t="str">
        <f t="shared" ca="1" si="2"/>
        <v/>
      </c>
      <c r="L43" s="7" t="str">
        <f t="shared" ca="1" si="0"/>
        <v/>
      </c>
    </row>
    <row r="44" spans="8:12" x14ac:dyDescent="0.25">
      <c r="H44" s="10" t="str">
        <f>IF(G44="","",VLOOKUP(G44,MEGHBELA!$A$2:$C$100,3,FALSE))</f>
        <v/>
      </c>
      <c r="I44" s="19"/>
      <c r="J44" s="22" t="str">
        <f t="shared" si="1"/>
        <v/>
      </c>
      <c r="K44" s="10" t="str">
        <f t="shared" ca="1" si="2"/>
        <v/>
      </c>
      <c r="L44" s="7" t="str">
        <f t="shared" ca="1" si="0"/>
        <v/>
      </c>
    </row>
    <row r="45" spans="8:12" x14ac:dyDescent="0.25">
      <c r="H45" s="10" t="str">
        <f>IF(G45="","",VLOOKUP(G45,MEGHBELA!$A$2:$C$100,3,FALSE))</f>
        <v/>
      </c>
      <c r="I45" s="18"/>
      <c r="J45" s="22" t="str">
        <f t="shared" si="1"/>
        <v/>
      </c>
      <c r="K45" s="10" t="str">
        <f t="shared" ca="1" si="2"/>
        <v/>
      </c>
      <c r="L45" s="7" t="str">
        <f t="shared" ca="1" si="0"/>
        <v/>
      </c>
    </row>
    <row r="46" spans="8:12" x14ac:dyDescent="0.25">
      <c r="H46" s="10" t="str">
        <f>IF(G46="","",VLOOKUP(G46,MEGHBELA!$A$2:$C$100,3,FALSE))</f>
        <v/>
      </c>
      <c r="I46" s="19"/>
      <c r="J46" s="22" t="str">
        <f t="shared" si="1"/>
        <v/>
      </c>
      <c r="K46" s="10" t="str">
        <f t="shared" ca="1" si="2"/>
        <v/>
      </c>
      <c r="L46" s="7" t="str">
        <f t="shared" ca="1" si="0"/>
        <v/>
      </c>
    </row>
    <row r="47" spans="8:12" x14ac:dyDescent="0.25">
      <c r="H47" s="10" t="str">
        <f>IF(G47="","",VLOOKUP(G47,MEGHBELA!$A$2:$C$100,3,FALSE))</f>
        <v/>
      </c>
      <c r="I47" s="18"/>
      <c r="J47" s="22" t="str">
        <f t="shared" si="1"/>
        <v/>
      </c>
      <c r="K47" s="10" t="str">
        <f t="shared" ca="1" si="2"/>
        <v/>
      </c>
      <c r="L47" s="7" t="str">
        <f t="shared" ca="1" si="0"/>
        <v/>
      </c>
    </row>
    <row r="48" spans="8:12" x14ac:dyDescent="0.25">
      <c r="H48" s="10" t="str">
        <f>IF(G48="","",VLOOKUP(G48,MEGHBELA!$A$2:$C$100,3,FALSE))</f>
        <v/>
      </c>
      <c r="I48" s="19"/>
      <c r="J48" s="22" t="str">
        <f t="shared" si="1"/>
        <v/>
      </c>
      <c r="K48" s="10" t="str">
        <f t="shared" ca="1" si="2"/>
        <v/>
      </c>
      <c r="L48" s="7" t="str">
        <f t="shared" ca="1" si="0"/>
        <v/>
      </c>
    </row>
    <row r="49" spans="8:12" x14ac:dyDescent="0.25">
      <c r="H49" s="10" t="str">
        <f>IF(G49="","",VLOOKUP(G49,MEGHBELA!$A$2:$C$100,3,FALSE))</f>
        <v/>
      </c>
      <c r="I49" s="18"/>
      <c r="J49" s="22" t="str">
        <f t="shared" si="1"/>
        <v/>
      </c>
      <c r="K49" s="10" t="str">
        <f t="shared" ca="1" si="2"/>
        <v/>
      </c>
      <c r="L49" s="7" t="str">
        <f t="shared" ca="1" si="0"/>
        <v/>
      </c>
    </row>
    <row r="50" spans="8:12" x14ac:dyDescent="0.25">
      <c r="H50" s="10" t="str">
        <f>IF(G50="","",VLOOKUP(G50,MEGHBELA!$A$2:$C$100,3,FALSE))</f>
        <v/>
      </c>
      <c r="I50" s="19"/>
      <c r="J50" s="22" t="str">
        <f t="shared" si="1"/>
        <v/>
      </c>
      <c r="K50" s="10" t="str">
        <f t="shared" ca="1" si="2"/>
        <v/>
      </c>
      <c r="L50" s="7" t="str">
        <f t="shared" ca="1" si="0"/>
        <v/>
      </c>
    </row>
    <row r="51" spans="8:12" x14ac:dyDescent="0.25">
      <c r="H51" s="10" t="str">
        <f>IF(G51="","",VLOOKUP(G51,MEGHBELA!$A$2:$C$100,3,FALSE))</f>
        <v/>
      </c>
      <c r="I51" s="18"/>
      <c r="J51" s="22" t="str">
        <f t="shared" si="1"/>
        <v/>
      </c>
      <c r="K51" s="10" t="str">
        <f t="shared" ca="1" si="2"/>
        <v/>
      </c>
      <c r="L51" s="7" t="str">
        <f t="shared" ca="1" si="0"/>
        <v/>
      </c>
    </row>
    <row r="52" spans="8:12" x14ac:dyDescent="0.25">
      <c r="H52" s="10" t="str">
        <f>IF(G52="","",VLOOKUP(G52,MEGHBELA!$A$2:$C$100,3,FALSE))</f>
        <v/>
      </c>
      <c r="I52" s="19"/>
      <c r="J52" s="22" t="str">
        <f t="shared" si="1"/>
        <v/>
      </c>
      <c r="K52" s="10" t="str">
        <f t="shared" ca="1" si="2"/>
        <v/>
      </c>
      <c r="L52" s="7" t="str">
        <f t="shared" ca="1" si="0"/>
        <v/>
      </c>
    </row>
    <row r="53" spans="8:12" x14ac:dyDescent="0.25">
      <c r="H53" s="10" t="str">
        <f>IF(G53="","",VLOOKUP(G53,MEGHBELA!$A$2:$C$100,3,FALSE))</f>
        <v/>
      </c>
      <c r="I53" s="18"/>
      <c r="J53" s="22" t="str">
        <f t="shared" si="1"/>
        <v/>
      </c>
      <c r="K53" s="10" t="str">
        <f t="shared" ca="1" si="2"/>
        <v/>
      </c>
      <c r="L53" s="7" t="str">
        <f t="shared" ca="1" si="0"/>
        <v/>
      </c>
    </row>
    <row r="54" spans="8:12" x14ac:dyDescent="0.25">
      <c r="H54" s="10" t="str">
        <f>IF(G54="","",VLOOKUP(G54,MEGHBELA!$A$2:$C$100,3,FALSE))</f>
        <v/>
      </c>
      <c r="I54" s="19"/>
      <c r="J54" s="22" t="str">
        <f t="shared" si="1"/>
        <v/>
      </c>
      <c r="K54" s="10" t="str">
        <f t="shared" ca="1" si="2"/>
        <v/>
      </c>
      <c r="L54" s="7" t="str">
        <f t="shared" ca="1" si="0"/>
        <v/>
      </c>
    </row>
    <row r="55" spans="8:12" x14ac:dyDescent="0.25">
      <c r="H55" s="10" t="str">
        <f>IF(G55="","",VLOOKUP(G55,MEGHBELA!$A$2:$C$100,3,FALSE))</f>
        <v/>
      </c>
      <c r="I55" s="18"/>
      <c r="J55" s="22" t="str">
        <f t="shared" si="1"/>
        <v/>
      </c>
      <c r="K55" s="10" t="str">
        <f t="shared" ca="1" si="2"/>
        <v/>
      </c>
      <c r="L55" s="7" t="str">
        <f t="shared" ca="1" si="0"/>
        <v/>
      </c>
    </row>
    <row r="56" spans="8:12" x14ac:dyDescent="0.25">
      <c r="H56" s="10" t="str">
        <f>IF(G56="","",VLOOKUP(G56,MEGHBELA!$A$2:$C$100,3,FALSE))</f>
        <v/>
      </c>
      <c r="I56" s="19"/>
      <c r="J56" s="22" t="str">
        <f t="shared" si="1"/>
        <v/>
      </c>
      <c r="K56" s="10" t="str">
        <f t="shared" ca="1" si="2"/>
        <v/>
      </c>
      <c r="L56" s="7" t="str">
        <f t="shared" ca="1" si="0"/>
        <v/>
      </c>
    </row>
    <row r="57" spans="8:12" x14ac:dyDescent="0.25">
      <c r="H57" s="10" t="str">
        <f>IF(G57="","",VLOOKUP(G57,MEGHBELA!$A$2:$C$100,3,FALSE))</f>
        <v/>
      </c>
      <c r="I57" s="18"/>
      <c r="J57" s="22" t="str">
        <f t="shared" si="1"/>
        <v/>
      </c>
      <c r="K57" s="10" t="str">
        <f t="shared" ca="1" si="2"/>
        <v/>
      </c>
      <c r="L57" s="7" t="str">
        <f t="shared" ca="1" si="0"/>
        <v/>
      </c>
    </row>
    <row r="58" spans="8:12" x14ac:dyDescent="0.25">
      <c r="H58" s="10" t="str">
        <f>IF(G58="","",VLOOKUP(G58,MEGHBELA!$A$2:$C$100,3,FALSE))</f>
        <v/>
      </c>
      <c r="I58" s="19"/>
      <c r="J58" s="22" t="str">
        <f t="shared" si="1"/>
        <v/>
      </c>
      <c r="K58" s="10" t="str">
        <f t="shared" ca="1" si="2"/>
        <v/>
      </c>
      <c r="L58" s="7" t="str">
        <f t="shared" ca="1" si="0"/>
        <v/>
      </c>
    </row>
    <row r="59" spans="8:12" x14ac:dyDescent="0.25">
      <c r="H59" s="10" t="str">
        <f>IF(G59="","",VLOOKUP(G59,MEGHBELA!$A$2:$C$100,3,FALSE))</f>
        <v/>
      </c>
      <c r="I59" s="18"/>
      <c r="J59" s="22" t="str">
        <f t="shared" si="1"/>
        <v/>
      </c>
      <c r="K59" s="10" t="str">
        <f t="shared" ca="1" si="2"/>
        <v/>
      </c>
      <c r="L59" s="7" t="str">
        <f t="shared" ca="1" si="0"/>
        <v/>
      </c>
    </row>
    <row r="60" spans="8:12" x14ac:dyDescent="0.25">
      <c r="H60" s="10" t="str">
        <f>IF(G60="","",VLOOKUP(G60,MEGHBELA!$A$2:$C$100,3,FALSE))</f>
        <v/>
      </c>
      <c r="I60" s="19"/>
      <c r="J60" s="22" t="str">
        <f t="shared" si="1"/>
        <v/>
      </c>
      <c r="K60" s="10" t="str">
        <f t="shared" ca="1" si="2"/>
        <v/>
      </c>
      <c r="L60" s="7" t="str">
        <f t="shared" ca="1" si="0"/>
        <v/>
      </c>
    </row>
    <row r="61" spans="8:12" x14ac:dyDescent="0.25">
      <c r="H61" s="10" t="str">
        <f>IF(G61="","",VLOOKUP(G61,MEGHBELA!$A$2:$C$100,3,FALSE))</f>
        <v/>
      </c>
      <c r="I61" s="18"/>
      <c r="J61" s="22" t="str">
        <f t="shared" si="1"/>
        <v/>
      </c>
      <c r="K61" s="10" t="str">
        <f t="shared" ca="1" si="2"/>
        <v/>
      </c>
      <c r="L61" s="7" t="str">
        <f t="shared" ca="1" si="0"/>
        <v/>
      </c>
    </row>
    <row r="62" spans="8:12" x14ac:dyDescent="0.25">
      <c r="H62" s="10" t="str">
        <f>IF(G62="","",VLOOKUP(G62,MEGHBELA!$A$2:$C$100,3,FALSE))</f>
        <v/>
      </c>
      <c r="I62" s="19"/>
      <c r="J62" s="22" t="str">
        <f t="shared" si="1"/>
        <v/>
      </c>
      <c r="K62" s="10" t="str">
        <f t="shared" ca="1" si="2"/>
        <v/>
      </c>
      <c r="L62" s="7" t="str">
        <f t="shared" ca="1" si="0"/>
        <v/>
      </c>
    </row>
    <row r="63" spans="8:12" x14ac:dyDescent="0.25">
      <c r="H63" s="10" t="str">
        <f>IF(G63="","",VLOOKUP(G63,MEGHBELA!$A$2:$C$100,3,FALSE))</f>
        <v/>
      </c>
      <c r="I63" s="18"/>
      <c r="J63" s="22" t="str">
        <f t="shared" si="1"/>
        <v/>
      </c>
      <c r="K63" s="10" t="str">
        <f t="shared" ca="1" si="2"/>
        <v/>
      </c>
      <c r="L63" s="7" t="str">
        <f t="shared" ca="1" si="0"/>
        <v/>
      </c>
    </row>
    <row r="64" spans="8:12" x14ac:dyDescent="0.25">
      <c r="H64" s="10" t="str">
        <f>IF(G64="","",VLOOKUP(G64,MEGHBELA!$A$2:$C$100,3,FALSE))</f>
        <v/>
      </c>
      <c r="I64" s="19"/>
      <c r="J64" s="22" t="str">
        <f t="shared" si="1"/>
        <v/>
      </c>
      <c r="K64" s="10" t="str">
        <f t="shared" ca="1" si="2"/>
        <v/>
      </c>
      <c r="L64" s="7" t="str">
        <f t="shared" ca="1" si="0"/>
        <v/>
      </c>
    </row>
    <row r="65" spans="8:12" x14ac:dyDescent="0.25">
      <c r="H65" s="10" t="str">
        <f>IF(G65="","",VLOOKUP(G65,MEGHBELA!$A$2:$C$100,3,FALSE))</f>
        <v/>
      </c>
      <c r="I65" s="18"/>
      <c r="J65" s="22" t="str">
        <f t="shared" si="1"/>
        <v/>
      </c>
      <c r="K65" s="10" t="str">
        <f t="shared" ca="1" si="2"/>
        <v/>
      </c>
      <c r="L65" s="7" t="str">
        <f t="shared" ca="1" si="0"/>
        <v/>
      </c>
    </row>
    <row r="66" spans="8:12" x14ac:dyDescent="0.25">
      <c r="H66" s="10" t="str">
        <f>IF(G66="","",VLOOKUP(G66,MEGHBELA!$A$2:$C$100,3,FALSE))</f>
        <v/>
      </c>
      <c r="I66" s="19"/>
      <c r="J66" s="22" t="str">
        <f t="shared" ref="J66:J129" si="3">IF(OR(I66="",H66=""),"",I66+H66)</f>
        <v/>
      </c>
      <c r="K66" s="10" t="str">
        <f t="shared" ref="K66:K129" ca="1" si="4">IF(J66="","",J66-TODAY())</f>
        <v/>
      </c>
      <c r="L66" s="7" t="str">
        <f t="shared" ref="L66:L129" ca="1" si="5">IF(K66="","",
IF(K66&lt;0,
HYPERLINK("https://web.whatsapp.com/send?phone=91"&amp;F66&amp;"&amp;text=Dear%20Customer,%20your%20internet%20plan%20expired%20on%20"&amp;TEXT(J66,"dd-mm-yyyy")&amp;".%20Your%20service%20is%20now%20stopped.%20Please%20renew%20immediately%20to%20restore%20service.%0A-----TRUESPEED%20BROADBAND","Send Stop Message"),
IF(K66&lt;=3,
HYPERLINK("https://web.whatsapp.com/send?phone=91"&amp;F66&amp;"&amp;text=Dear%20Customer,%20your%20internet%20plan%20will%20expire%20in%20"&amp;K66&amp;"%20days.%20Please%20renew%20before%20"&amp;TEXT(J66,"dd-mm-yyyy")&amp;".%0A-----TRUESPEED%20BROADBAND","Send Renewal Alert"),
"")))</f>
        <v/>
      </c>
    </row>
    <row r="67" spans="8:12" x14ac:dyDescent="0.25">
      <c r="H67" s="10" t="str">
        <f>IF(G67="","",VLOOKUP(G67,MEGHBELA!$A$2:$C$100,3,FALSE))</f>
        <v/>
      </c>
      <c r="I67" s="18"/>
      <c r="J67" s="22" t="str">
        <f t="shared" si="3"/>
        <v/>
      </c>
      <c r="K67" s="10" t="str">
        <f t="shared" ca="1" si="4"/>
        <v/>
      </c>
      <c r="L67" s="7" t="str">
        <f t="shared" ca="1" si="5"/>
        <v/>
      </c>
    </row>
    <row r="68" spans="8:12" x14ac:dyDescent="0.25">
      <c r="H68" s="10" t="str">
        <f>IF(G68="","",VLOOKUP(G68,MEGHBELA!$A$2:$C$100,3,FALSE))</f>
        <v/>
      </c>
      <c r="I68" s="19"/>
      <c r="J68" s="22" t="str">
        <f t="shared" si="3"/>
        <v/>
      </c>
      <c r="K68" s="10" t="str">
        <f t="shared" ca="1" si="4"/>
        <v/>
      </c>
      <c r="L68" s="7" t="str">
        <f t="shared" ca="1" si="5"/>
        <v/>
      </c>
    </row>
    <row r="69" spans="8:12" x14ac:dyDescent="0.25">
      <c r="H69" s="10" t="str">
        <f>IF(G69="","",VLOOKUP(G69,MEGHBELA!$A$2:$C$100,3,FALSE))</f>
        <v/>
      </c>
      <c r="I69" s="18"/>
      <c r="J69" s="22" t="str">
        <f t="shared" si="3"/>
        <v/>
      </c>
      <c r="K69" s="10" t="str">
        <f t="shared" ca="1" si="4"/>
        <v/>
      </c>
      <c r="L69" s="7" t="str">
        <f t="shared" ca="1" si="5"/>
        <v/>
      </c>
    </row>
    <row r="70" spans="8:12" x14ac:dyDescent="0.25">
      <c r="H70" s="10" t="str">
        <f>IF(G70="","",VLOOKUP(G70,MEGHBELA!$A$2:$C$100,3,FALSE))</f>
        <v/>
      </c>
      <c r="I70" s="19"/>
      <c r="J70" s="22" t="str">
        <f t="shared" si="3"/>
        <v/>
      </c>
      <c r="K70" s="10" t="str">
        <f t="shared" ca="1" si="4"/>
        <v/>
      </c>
      <c r="L70" s="7" t="str">
        <f t="shared" ca="1" si="5"/>
        <v/>
      </c>
    </row>
    <row r="71" spans="8:12" x14ac:dyDescent="0.25">
      <c r="H71" s="10" t="str">
        <f>IF(G71="","",VLOOKUP(G71,MEGHBELA!$A$2:$C$100,3,FALSE))</f>
        <v/>
      </c>
      <c r="I71" s="18"/>
      <c r="J71" s="22" t="str">
        <f t="shared" si="3"/>
        <v/>
      </c>
      <c r="K71" s="10" t="str">
        <f t="shared" ca="1" si="4"/>
        <v/>
      </c>
      <c r="L71" s="7" t="str">
        <f t="shared" ca="1" si="5"/>
        <v/>
      </c>
    </row>
    <row r="72" spans="8:12" x14ac:dyDescent="0.25">
      <c r="H72" s="10" t="str">
        <f>IF(G72="","",VLOOKUP(G72,MEGHBELA!$A$2:$C$100,3,FALSE))</f>
        <v/>
      </c>
      <c r="I72" s="19"/>
      <c r="J72" s="22" t="str">
        <f t="shared" si="3"/>
        <v/>
      </c>
      <c r="K72" s="10" t="str">
        <f t="shared" ca="1" si="4"/>
        <v/>
      </c>
      <c r="L72" s="7" t="str">
        <f t="shared" ca="1" si="5"/>
        <v/>
      </c>
    </row>
    <row r="73" spans="8:12" x14ac:dyDescent="0.25">
      <c r="H73" s="10" t="str">
        <f>IF(G73="","",VLOOKUP(G73,MEGHBELA!$A$2:$C$100,3,FALSE))</f>
        <v/>
      </c>
      <c r="I73" s="18"/>
      <c r="J73" s="22" t="str">
        <f t="shared" si="3"/>
        <v/>
      </c>
      <c r="K73" s="10" t="str">
        <f t="shared" ca="1" si="4"/>
        <v/>
      </c>
      <c r="L73" s="7" t="str">
        <f t="shared" ca="1" si="5"/>
        <v/>
      </c>
    </row>
    <row r="74" spans="8:12" x14ac:dyDescent="0.25">
      <c r="H74" s="10" t="str">
        <f>IF(G74="","",VLOOKUP(G74,MEGHBELA!$A$2:$C$100,3,FALSE))</f>
        <v/>
      </c>
      <c r="I74" s="19"/>
      <c r="J74" s="22" t="str">
        <f t="shared" si="3"/>
        <v/>
      </c>
      <c r="K74" s="10" t="str">
        <f t="shared" ca="1" si="4"/>
        <v/>
      </c>
      <c r="L74" s="7" t="str">
        <f t="shared" ca="1" si="5"/>
        <v/>
      </c>
    </row>
    <row r="75" spans="8:12" x14ac:dyDescent="0.25">
      <c r="H75" s="10" t="str">
        <f>IF(G75="","",VLOOKUP(G75,MEGHBELA!$A$2:$C$100,3,FALSE))</f>
        <v/>
      </c>
      <c r="I75" s="18"/>
      <c r="J75" s="22" t="str">
        <f t="shared" si="3"/>
        <v/>
      </c>
      <c r="K75" s="10" t="str">
        <f t="shared" ca="1" si="4"/>
        <v/>
      </c>
      <c r="L75" s="7" t="str">
        <f t="shared" ca="1" si="5"/>
        <v/>
      </c>
    </row>
    <row r="76" spans="8:12" x14ac:dyDescent="0.25">
      <c r="H76" s="10" t="str">
        <f>IF(G76="","",VLOOKUP(G76,MEGHBELA!$A$2:$C$100,3,FALSE))</f>
        <v/>
      </c>
      <c r="I76" s="19"/>
      <c r="J76" s="22" t="str">
        <f t="shared" si="3"/>
        <v/>
      </c>
      <c r="K76" s="10" t="str">
        <f t="shared" ca="1" si="4"/>
        <v/>
      </c>
      <c r="L76" s="7" t="str">
        <f t="shared" ca="1" si="5"/>
        <v/>
      </c>
    </row>
    <row r="77" spans="8:12" x14ac:dyDescent="0.25">
      <c r="H77" s="10" t="str">
        <f>IF(G77="","",VLOOKUP(G77,MEGHBELA!$A$2:$C$100,3,FALSE))</f>
        <v/>
      </c>
      <c r="I77" s="18"/>
      <c r="J77" s="22" t="str">
        <f t="shared" si="3"/>
        <v/>
      </c>
      <c r="K77" s="10" t="str">
        <f t="shared" ca="1" si="4"/>
        <v/>
      </c>
      <c r="L77" s="7" t="str">
        <f t="shared" ca="1" si="5"/>
        <v/>
      </c>
    </row>
    <row r="78" spans="8:12" x14ac:dyDescent="0.25">
      <c r="H78" s="10" t="str">
        <f>IF(G78="","",VLOOKUP(G78,MEGHBELA!$A$2:$C$100,3,FALSE))</f>
        <v/>
      </c>
      <c r="I78" s="19"/>
      <c r="J78" s="22" t="str">
        <f t="shared" si="3"/>
        <v/>
      </c>
      <c r="K78" s="10" t="str">
        <f t="shared" ca="1" si="4"/>
        <v/>
      </c>
      <c r="L78" s="7" t="str">
        <f t="shared" ca="1" si="5"/>
        <v/>
      </c>
    </row>
    <row r="79" spans="8:12" x14ac:dyDescent="0.25">
      <c r="H79" s="10" t="str">
        <f>IF(G79="","",VLOOKUP(G79,MEGHBELA!$A$2:$C$100,3,FALSE))</f>
        <v/>
      </c>
      <c r="I79" s="18"/>
      <c r="J79" s="22" t="str">
        <f t="shared" si="3"/>
        <v/>
      </c>
      <c r="K79" s="10" t="str">
        <f t="shared" ca="1" si="4"/>
        <v/>
      </c>
      <c r="L79" s="7" t="str">
        <f t="shared" ca="1" si="5"/>
        <v/>
      </c>
    </row>
    <row r="80" spans="8:12" x14ac:dyDescent="0.25">
      <c r="H80" s="10" t="str">
        <f>IF(G80="","",VLOOKUP(G80,MEGHBELA!$A$2:$C$100,3,FALSE))</f>
        <v/>
      </c>
      <c r="I80" s="19"/>
      <c r="J80" s="22" t="str">
        <f t="shared" si="3"/>
        <v/>
      </c>
      <c r="K80" s="10" t="str">
        <f t="shared" ca="1" si="4"/>
        <v/>
      </c>
      <c r="L80" s="7" t="str">
        <f t="shared" ca="1" si="5"/>
        <v/>
      </c>
    </row>
    <row r="81" spans="8:12" x14ac:dyDescent="0.25">
      <c r="H81" s="10" t="str">
        <f>IF(G81="","",VLOOKUP(G81,MEGHBELA!$A$2:$C$100,3,FALSE))</f>
        <v/>
      </c>
      <c r="I81" s="18"/>
      <c r="J81" s="22" t="str">
        <f t="shared" si="3"/>
        <v/>
      </c>
      <c r="K81" s="10" t="str">
        <f t="shared" ca="1" si="4"/>
        <v/>
      </c>
      <c r="L81" s="7" t="str">
        <f t="shared" ca="1" si="5"/>
        <v/>
      </c>
    </row>
    <row r="82" spans="8:12" x14ac:dyDescent="0.25">
      <c r="H82" s="10" t="str">
        <f>IF(G82="","",VLOOKUP(G82,MEGHBELA!$A$2:$C$100,3,FALSE))</f>
        <v/>
      </c>
      <c r="I82" s="19"/>
      <c r="J82" s="22" t="str">
        <f t="shared" si="3"/>
        <v/>
      </c>
      <c r="K82" s="10" t="str">
        <f t="shared" ca="1" si="4"/>
        <v/>
      </c>
      <c r="L82" s="7" t="str">
        <f t="shared" ca="1" si="5"/>
        <v/>
      </c>
    </row>
    <row r="83" spans="8:12" x14ac:dyDescent="0.25">
      <c r="H83" s="10" t="str">
        <f>IF(G83="","",VLOOKUP(G83,MEGHBELA!$A$2:$C$100,3,FALSE))</f>
        <v/>
      </c>
      <c r="I83" s="18"/>
      <c r="J83" s="22" t="str">
        <f t="shared" si="3"/>
        <v/>
      </c>
      <c r="K83" s="10" t="str">
        <f t="shared" ca="1" si="4"/>
        <v/>
      </c>
      <c r="L83" s="7" t="str">
        <f t="shared" ca="1" si="5"/>
        <v/>
      </c>
    </row>
    <row r="84" spans="8:12" x14ac:dyDescent="0.25">
      <c r="H84" s="10" t="str">
        <f>IF(G84="","",VLOOKUP(G84,MEGHBELA!$A$2:$C$100,3,FALSE))</f>
        <v/>
      </c>
      <c r="I84" s="19"/>
      <c r="J84" s="22" t="str">
        <f t="shared" si="3"/>
        <v/>
      </c>
      <c r="K84" s="10" t="str">
        <f t="shared" ca="1" si="4"/>
        <v/>
      </c>
      <c r="L84" s="7" t="str">
        <f t="shared" ca="1" si="5"/>
        <v/>
      </c>
    </row>
    <row r="85" spans="8:12" x14ac:dyDescent="0.25">
      <c r="H85" s="10" t="str">
        <f>IF(G85="","",VLOOKUP(G85,MEGHBELA!$A$2:$C$100,3,FALSE))</f>
        <v/>
      </c>
      <c r="I85" s="18"/>
      <c r="J85" s="22" t="str">
        <f t="shared" si="3"/>
        <v/>
      </c>
      <c r="K85" s="10" t="str">
        <f t="shared" ca="1" si="4"/>
        <v/>
      </c>
      <c r="L85" s="7" t="str">
        <f t="shared" ca="1" si="5"/>
        <v/>
      </c>
    </row>
    <row r="86" spans="8:12" x14ac:dyDescent="0.25">
      <c r="H86" s="10" t="str">
        <f>IF(G86="","",VLOOKUP(G86,MEGHBELA!$A$2:$C$100,3,FALSE))</f>
        <v/>
      </c>
      <c r="I86" s="19"/>
      <c r="J86" s="22" t="str">
        <f t="shared" si="3"/>
        <v/>
      </c>
      <c r="K86" s="10" t="str">
        <f t="shared" ca="1" si="4"/>
        <v/>
      </c>
      <c r="L86" s="7" t="str">
        <f t="shared" ca="1" si="5"/>
        <v/>
      </c>
    </row>
    <row r="87" spans="8:12" x14ac:dyDescent="0.25">
      <c r="H87" s="10" t="str">
        <f>IF(G87="","",VLOOKUP(G87,MEGHBELA!$A$2:$C$100,3,FALSE))</f>
        <v/>
      </c>
      <c r="I87" s="18"/>
      <c r="J87" s="22" t="str">
        <f t="shared" si="3"/>
        <v/>
      </c>
      <c r="K87" s="10" t="str">
        <f t="shared" ca="1" si="4"/>
        <v/>
      </c>
      <c r="L87" s="7" t="str">
        <f t="shared" ca="1" si="5"/>
        <v/>
      </c>
    </row>
    <row r="88" spans="8:12" x14ac:dyDescent="0.25">
      <c r="H88" s="10" t="str">
        <f>IF(G88="","",VLOOKUP(G88,MEGHBELA!$A$2:$C$100,3,FALSE))</f>
        <v/>
      </c>
      <c r="I88" s="19"/>
      <c r="J88" s="22" t="str">
        <f t="shared" si="3"/>
        <v/>
      </c>
      <c r="K88" s="10" t="str">
        <f t="shared" ca="1" si="4"/>
        <v/>
      </c>
      <c r="L88" s="7" t="str">
        <f t="shared" ca="1" si="5"/>
        <v/>
      </c>
    </row>
    <row r="89" spans="8:12" x14ac:dyDescent="0.25">
      <c r="H89" s="10" t="str">
        <f>IF(G89="","",VLOOKUP(G89,MEGHBELA!$A$2:$C$100,3,FALSE))</f>
        <v/>
      </c>
      <c r="I89" s="18"/>
      <c r="J89" s="22" t="str">
        <f t="shared" si="3"/>
        <v/>
      </c>
      <c r="K89" s="10" t="str">
        <f t="shared" ca="1" si="4"/>
        <v/>
      </c>
      <c r="L89" s="7" t="str">
        <f t="shared" ca="1" si="5"/>
        <v/>
      </c>
    </row>
    <row r="90" spans="8:12" x14ac:dyDescent="0.25">
      <c r="H90" s="10" t="str">
        <f>IF(G90="","",VLOOKUP(G90,MEGHBELA!$A$2:$C$100,3,FALSE))</f>
        <v/>
      </c>
      <c r="I90" s="19"/>
      <c r="J90" s="22" t="str">
        <f t="shared" si="3"/>
        <v/>
      </c>
      <c r="K90" s="10" t="str">
        <f t="shared" ca="1" si="4"/>
        <v/>
      </c>
      <c r="L90" s="7" t="str">
        <f t="shared" ca="1" si="5"/>
        <v/>
      </c>
    </row>
    <row r="91" spans="8:12" x14ac:dyDescent="0.25">
      <c r="H91" s="10" t="str">
        <f>IF(G91="","",VLOOKUP(G91,MEGHBELA!$A$2:$C$100,3,FALSE))</f>
        <v/>
      </c>
      <c r="I91" s="18"/>
      <c r="J91" s="22" t="str">
        <f t="shared" si="3"/>
        <v/>
      </c>
      <c r="K91" s="10" t="str">
        <f t="shared" ca="1" si="4"/>
        <v/>
      </c>
      <c r="L91" s="7" t="str">
        <f t="shared" ca="1" si="5"/>
        <v/>
      </c>
    </row>
    <row r="92" spans="8:12" x14ac:dyDescent="0.25">
      <c r="H92" s="10" t="str">
        <f>IF(G92="","",VLOOKUP(G92,MEGHBELA!$A$2:$C$100,3,FALSE))</f>
        <v/>
      </c>
      <c r="I92" s="19"/>
      <c r="J92" s="22" t="str">
        <f t="shared" si="3"/>
        <v/>
      </c>
      <c r="K92" s="10" t="str">
        <f t="shared" ca="1" si="4"/>
        <v/>
      </c>
      <c r="L92" s="7" t="str">
        <f t="shared" ca="1" si="5"/>
        <v/>
      </c>
    </row>
    <row r="93" spans="8:12" x14ac:dyDescent="0.25">
      <c r="H93" s="10" t="str">
        <f>IF(G93="","",VLOOKUP(G93,MEGHBELA!$A$2:$C$100,3,FALSE))</f>
        <v/>
      </c>
      <c r="I93" s="18"/>
      <c r="J93" s="22" t="str">
        <f t="shared" si="3"/>
        <v/>
      </c>
      <c r="K93" s="10" t="str">
        <f t="shared" ca="1" si="4"/>
        <v/>
      </c>
      <c r="L93" s="7" t="str">
        <f t="shared" ca="1" si="5"/>
        <v/>
      </c>
    </row>
    <row r="94" spans="8:12" x14ac:dyDescent="0.25">
      <c r="H94" s="10" t="str">
        <f>IF(G94="","",VLOOKUP(G94,MEGHBELA!$A$2:$C$100,3,FALSE))</f>
        <v/>
      </c>
      <c r="I94" s="19"/>
      <c r="J94" s="22" t="str">
        <f t="shared" si="3"/>
        <v/>
      </c>
      <c r="K94" s="10" t="str">
        <f t="shared" ca="1" si="4"/>
        <v/>
      </c>
      <c r="L94" s="7" t="str">
        <f t="shared" ca="1" si="5"/>
        <v/>
      </c>
    </row>
    <row r="95" spans="8:12" x14ac:dyDescent="0.25">
      <c r="H95" s="10" t="str">
        <f>IF(G95="","",VLOOKUP(G95,MEGHBELA!$A$2:$C$100,3,FALSE))</f>
        <v/>
      </c>
      <c r="I95" s="18"/>
      <c r="J95" s="22" t="str">
        <f t="shared" si="3"/>
        <v/>
      </c>
      <c r="K95" s="10" t="str">
        <f t="shared" ca="1" si="4"/>
        <v/>
      </c>
      <c r="L95" s="7" t="str">
        <f t="shared" ca="1" si="5"/>
        <v/>
      </c>
    </row>
    <row r="96" spans="8:12" x14ac:dyDescent="0.25">
      <c r="H96" s="10" t="str">
        <f>IF(G96="","",VLOOKUP(G96,MEGHBELA!$A$2:$C$100,3,FALSE))</f>
        <v/>
      </c>
      <c r="I96" s="19"/>
      <c r="J96" s="22" t="str">
        <f t="shared" si="3"/>
        <v/>
      </c>
      <c r="K96" s="10" t="str">
        <f t="shared" ca="1" si="4"/>
        <v/>
      </c>
      <c r="L96" s="7" t="str">
        <f t="shared" ca="1" si="5"/>
        <v/>
      </c>
    </row>
    <row r="97" spans="8:12" x14ac:dyDescent="0.25">
      <c r="H97" s="10" t="str">
        <f>IF(G97="","",VLOOKUP(G97,MEGHBELA!$A$2:$C$100,3,FALSE))</f>
        <v/>
      </c>
      <c r="I97" s="18"/>
      <c r="J97" s="22" t="str">
        <f t="shared" si="3"/>
        <v/>
      </c>
      <c r="K97" s="10" t="str">
        <f t="shared" ca="1" si="4"/>
        <v/>
      </c>
      <c r="L97" s="7" t="str">
        <f t="shared" ca="1" si="5"/>
        <v/>
      </c>
    </row>
    <row r="98" spans="8:12" x14ac:dyDescent="0.25">
      <c r="H98" s="10" t="str">
        <f>IF(G98="","",VLOOKUP(G98,MEGHBELA!$A$2:$C$100,3,FALSE))</f>
        <v/>
      </c>
      <c r="I98" s="19"/>
      <c r="J98" s="22" t="str">
        <f t="shared" si="3"/>
        <v/>
      </c>
      <c r="K98" s="10" t="str">
        <f t="shared" ca="1" si="4"/>
        <v/>
      </c>
      <c r="L98" s="7" t="str">
        <f t="shared" ca="1" si="5"/>
        <v/>
      </c>
    </row>
    <row r="99" spans="8:12" x14ac:dyDescent="0.25">
      <c r="H99" s="10" t="str">
        <f>IF(G99="","",VLOOKUP(G99,MEGHBELA!$A$2:$C$100,3,FALSE))</f>
        <v/>
      </c>
      <c r="I99" s="18"/>
      <c r="J99" s="22" t="str">
        <f t="shared" si="3"/>
        <v/>
      </c>
      <c r="K99" s="10" t="str">
        <f t="shared" ca="1" si="4"/>
        <v/>
      </c>
      <c r="L99" s="7" t="str">
        <f t="shared" ca="1" si="5"/>
        <v/>
      </c>
    </row>
    <row r="100" spans="8:12" x14ac:dyDescent="0.25">
      <c r="H100" s="10" t="str">
        <f>IF(G100="","",VLOOKUP(G100,MEGHBELA!$A$2:$C$100,3,FALSE))</f>
        <v/>
      </c>
      <c r="I100" s="19"/>
      <c r="J100" s="22" t="str">
        <f t="shared" si="3"/>
        <v/>
      </c>
      <c r="K100" s="10" t="str">
        <f t="shared" ca="1" si="4"/>
        <v/>
      </c>
      <c r="L100" s="7" t="str">
        <f t="shared" ca="1" si="5"/>
        <v/>
      </c>
    </row>
    <row r="101" spans="8:12" x14ac:dyDescent="0.25">
      <c r="H101" s="10" t="str">
        <f>IF(G101="","",VLOOKUP(G101,MEGHBELA!$A$2:$C$100,3,FALSE))</f>
        <v/>
      </c>
      <c r="I101" s="18"/>
      <c r="J101" s="22" t="str">
        <f t="shared" si="3"/>
        <v/>
      </c>
      <c r="K101" s="10" t="str">
        <f t="shared" ca="1" si="4"/>
        <v/>
      </c>
      <c r="L101" s="7" t="str">
        <f t="shared" ca="1" si="5"/>
        <v/>
      </c>
    </row>
    <row r="102" spans="8:12" x14ac:dyDescent="0.25">
      <c r="H102" s="10" t="str">
        <f>IF(G102="","",VLOOKUP(G102,MEGHBELA!$A$2:$C$100,3,FALSE))</f>
        <v/>
      </c>
      <c r="I102" s="19"/>
      <c r="J102" s="22" t="str">
        <f t="shared" si="3"/>
        <v/>
      </c>
      <c r="K102" s="10" t="str">
        <f t="shared" ca="1" si="4"/>
        <v/>
      </c>
      <c r="L102" s="7" t="str">
        <f t="shared" ca="1" si="5"/>
        <v/>
      </c>
    </row>
    <row r="103" spans="8:12" x14ac:dyDescent="0.25">
      <c r="H103" s="10" t="str">
        <f>IF(G103="","",VLOOKUP(G103,MEGHBELA!$A$2:$C$100,3,FALSE))</f>
        <v/>
      </c>
      <c r="I103" s="18"/>
      <c r="J103" s="22" t="str">
        <f t="shared" si="3"/>
        <v/>
      </c>
      <c r="K103" s="10" t="str">
        <f t="shared" ca="1" si="4"/>
        <v/>
      </c>
      <c r="L103" s="7" t="str">
        <f t="shared" ca="1" si="5"/>
        <v/>
      </c>
    </row>
    <row r="104" spans="8:12" x14ac:dyDescent="0.25">
      <c r="H104" s="10" t="str">
        <f>IF(G104="","",VLOOKUP(G104,MEGHBELA!$A$2:$C$100,3,FALSE))</f>
        <v/>
      </c>
      <c r="I104" s="19"/>
      <c r="J104" s="22" t="str">
        <f t="shared" si="3"/>
        <v/>
      </c>
      <c r="K104" s="10" t="str">
        <f t="shared" ca="1" si="4"/>
        <v/>
      </c>
      <c r="L104" s="7" t="str">
        <f t="shared" ca="1" si="5"/>
        <v/>
      </c>
    </row>
    <row r="105" spans="8:12" x14ac:dyDescent="0.25">
      <c r="H105" s="10" t="str">
        <f>IF(G105="","",VLOOKUP(G105,MEGHBELA!$A$2:$C$100,3,FALSE))</f>
        <v/>
      </c>
      <c r="I105" s="18"/>
      <c r="J105" s="22" t="str">
        <f t="shared" si="3"/>
        <v/>
      </c>
      <c r="K105" s="10" t="str">
        <f t="shared" ca="1" si="4"/>
        <v/>
      </c>
      <c r="L105" s="7" t="str">
        <f t="shared" ca="1" si="5"/>
        <v/>
      </c>
    </row>
    <row r="106" spans="8:12" x14ac:dyDescent="0.25">
      <c r="H106" s="10" t="str">
        <f>IF(G106="","",VLOOKUP(G106,MEGHBELA!$A$2:$C$100,3,FALSE))</f>
        <v/>
      </c>
      <c r="I106" s="19"/>
      <c r="J106" s="22" t="str">
        <f t="shared" si="3"/>
        <v/>
      </c>
      <c r="K106" s="10" t="str">
        <f t="shared" ca="1" si="4"/>
        <v/>
      </c>
      <c r="L106" s="7" t="str">
        <f t="shared" ca="1" si="5"/>
        <v/>
      </c>
    </row>
    <row r="107" spans="8:12" x14ac:dyDescent="0.25">
      <c r="H107" s="10" t="str">
        <f>IF(G107="","",VLOOKUP(G107,MEGHBELA!$A$2:$C$100,3,FALSE))</f>
        <v/>
      </c>
      <c r="I107" s="18"/>
      <c r="J107" s="22" t="str">
        <f t="shared" si="3"/>
        <v/>
      </c>
      <c r="K107" s="10" t="str">
        <f t="shared" ca="1" si="4"/>
        <v/>
      </c>
      <c r="L107" s="7" t="str">
        <f t="shared" ca="1" si="5"/>
        <v/>
      </c>
    </row>
    <row r="108" spans="8:12" x14ac:dyDescent="0.25">
      <c r="H108" s="10" t="str">
        <f>IF(G108="","",VLOOKUP(G108,MEGHBELA!$A$2:$C$100,3,FALSE))</f>
        <v/>
      </c>
      <c r="I108" s="19"/>
      <c r="J108" s="22" t="str">
        <f t="shared" si="3"/>
        <v/>
      </c>
      <c r="K108" s="10" t="str">
        <f t="shared" ca="1" si="4"/>
        <v/>
      </c>
      <c r="L108" s="7" t="str">
        <f t="shared" ca="1" si="5"/>
        <v/>
      </c>
    </row>
    <row r="109" spans="8:12" x14ac:dyDescent="0.25">
      <c r="H109" s="10" t="str">
        <f>IF(G109="","",VLOOKUP(G109,MEGHBELA!$A$2:$C$100,3,FALSE))</f>
        <v/>
      </c>
      <c r="I109" s="18"/>
      <c r="J109" s="22" t="str">
        <f t="shared" si="3"/>
        <v/>
      </c>
      <c r="K109" s="10" t="str">
        <f t="shared" ca="1" si="4"/>
        <v/>
      </c>
      <c r="L109" s="7" t="str">
        <f t="shared" ca="1" si="5"/>
        <v/>
      </c>
    </row>
    <row r="110" spans="8:12" x14ac:dyDescent="0.25">
      <c r="H110" s="10" t="str">
        <f>IF(G110="","",VLOOKUP(G110,MEGHBELA!$A$2:$C$100,3,FALSE))</f>
        <v/>
      </c>
      <c r="I110" s="19"/>
      <c r="J110" s="22" t="str">
        <f t="shared" si="3"/>
        <v/>
      </c>
      <c r="K110" s="10" t="str">
        <f t="shared" ca="1" si="4"/>
        <v/>
      </c>
      <c r="L110" s="7" t="str">
        <f t="shared" ca="1" si="5"/>
        <v/>
      </c>
    </row>
    <row r="111" spans="8:12" x14ac:dyDescent="0.25">
      <c r="H111" s="10" t="str">
        <f>IF(G111="","",VLOOKUP(G111,MEGHBELA!$A$2:$C$100,3,FALSE))</f>
        <v/>
      </c>
      <c r="I111" s="18"/>
      <c r="J111" s="22" t="str">
        <f t="shared" si="3"/>
        <v/>
      </c>
      <c r="K111" s="10" t="str">
        <f t="shared" ca="1" si="4"/>
        <v/>
      </c>
      <c r="L111" s="7" t="str">
        <f t="shared" ca="1" si="5"/>
        <v/>
      </c>
    </row>
    <row r="112" spans="8:12" x14ac:dyDescent="0.25">
      <c r="H112" s="10" t="str">
        <f>IF(G112="","",VLOOKUP(G112,MEGHBELA!$A$2:$C$100,3,FALSE))</f>
        <v/>
      </c>
      <c r="I112" s="19"/>
      <c r="J112" s="22" t="str">
        <f t="shared" si="3"/>
        <v/>
      </c>
      <c r="K112" s="10" t="str">
        <f t="shared" ca="1" si="4"/>
        <v/>
      </c>
      <c r="L112" s="7" t="str">
        <f t="shared" ca="1" si="5"/>
        <v/>
      </c>
    </row>
    <row r="113" spans="8:12" x14ac:dyDescent="0.25">
      <c r="H113" s="10" t="str">
        <f>IF(G113="","",VLOOKUP(G113,MEGHBELA!$A$2:$C$100,3,FALSE))</f>
        <v/>
      </c>
      <c r="I113" s="18"/>
      <c r="J113" s="22" t="str">
        <f t="shared" si="3"/>
        <v/>
      </c>
      <c r="K113" s="10" t="str">
        <f t="shared" ca="1" si="4"/>
        <v/>
      </c>
      <c r="L113" s="7" t="str">
        <f t="shared" ca="1" si="5"/>
        <v/>
      </c>
    </row>
    <row r="114" spans="8:12" x14ac:dyDescent="0.25">
      <c r="H114" s="10" t="str">
        <f>IF(G114="","",VLOOKUP(G114,MEGHBELA!$A$2:$C$100,3,FALSE))</f>
        <v/>
      </c>
      <c r="I114" s="19"/>
      <c r="J114" s="22" t="str">
        <f t="shared" si="3"/>
        <v/>
      </c>
      <c r="K114" s="10" t="str">
        <f t="shared" ca="1" si="4"/>
        <v/>
      </c>
      <c r="L114" s="7" t="str">
        <f t="shared" ca="1" si="5"/>
        <v/>
      </c>
    </row>
    <row r="115" spans="8:12" x14ac:dyDescent="0.25">
      <c r="H115" s="10" t="str">
        <f>IF(G115="","",VLOOKUP(G115,MEGHBELA!$A$2:$C$100,3,FALSE))</f>
        <v/>
      </c>
      <c r="I115" s="18"/>
      <c r="J115" s="22" t="str">
        <f t="shared" si="3"/>
        <v/>
      </c>
      <c r="K115" s="10" t="str">
        <f t="shared" ca="1" si="4"/>
        <v/>
      </c>
      <c r="L115" s="7" t="str">
        <f t="shared" ca="1" si="5"/>
        <v/>
      </c>
    </row>
    <row r="116" spans="8:12" x14ac:dyDescent="0.25">
      <c r="H116" s="10" t="str">
        <f>IF(G116="","",VLOOKUP(G116,MEGHBELA!$A$2:$C$100,3,FALSE))</f>
        <v/>
      </c>
      <c r="I116" s="19"/>
      <c r="J116" s="22" t="str">
        <f t="shared" si="3"/>
        <v/>
      </c>
      <c r="K116" s="10" t="str">
        <f t="shared" ca="1" si="4"/>
        <v/>
      </c>
      <c r="L116" s="7" t="str">
        <f t="shared" ca="1" si="5"/>
        <v/>
      </c>
    </row>
    <row r="117" spans="8:12" x14ac:dyDescent="0.25">
      <c r="H117" s="10" t="str">
        <f>IF(G117="","",VLOOKUP(G117,MEGHBELA!$A$2:$C$100,3,FALSE))</f>
        <v/>
      </c>
      <c r="I117" s="18"/>
      <c r="J117" s="22" t="str">
        <f t="shared" si="3"/>
        <v/>
      </c>
      <c r="K117" s="10" t="str">
        <f t="shared" ca="1" si="4"/>
        <v/>
      </c>
      <c r="L117" s="7" t="str">
        <f t="shared" ca="1" si="5"/>
        <v/>
      </c>
    </row>
    <row r="118" spans="8:12" x14ac:dyDescent="0.25">
      <c r="H118" s="10" t="str">
        <f>IF(G118="","",VLOOKUP(G118,MEGHBELA!$A$2:$C$100,3,FALSE))</f>
        <v/>
      </c>
      <c r="I118" s="19"/>
      <c r="J118" s="22" t="str">
        <f t="shared" si="3"/>
        <v/>
      </c>
      <c r="K118" s="10" t="str">
        <f t="shared" ca="1" si="4"/>
        <v/>
      </c>
      <c r="L118" s="7" t="str">
        <f t="shared" ca="1" si="5"/>
        <v/>
      </c>
    </row>
    <row r="119" spans="8:12" x14ac:dyDescent="0.25">
      <c r="H119" s="10" t="str">
        <f>IF(G119="","",VLOOKUP(G119,MEGHBELA!$A$2:$C$100,3,FALSE))</f>
        <v/>
      </c>
      <c r="I119" s="18"/>
      <c r="J119" s="22" t="str">
        <f t="shared" si="3"/>
        <v/>
      </c>
      <c r="K119" s="10" t="str">
        <f t="shared" ca="1" si="4"/>
        <v/>
      </c>
      <c r="L119" s="7" t="str">
        <f t="shared" ca="1" si="5"/>
        <v/>
      </c>
    </row>
    <row r="120" spans="8:12" x14ac:dyDescent="0.25">
      <c r="H120" s="10" t="str">
        <f>IF(G120="","",VLOOKUP(G120,MEGHBELA!$A$2:$C$100,3,FALSE))</f>
        <v/>
      </c>
      <c r="I120" s="19"/>
      <c r="J120" s="22" t="str">
        <f t="shared" si="3"/>
        <v/>
      </c>
      <c r="K120" s="10" t="str">
        <f t="shared" ca="1" si="4"/>
        <v/>
      </c>
      <c r="L120" s="7" t="str">
        <f t="shared" ca="1" si="5"/>
        <v/>
      </c>
    </row>
    <row r="121" spans="8:12" x14ac:dyDescent="0.25">
      <c r="H121" s="10" t="str">
        <f>IF(G121="","",VLOOKUP(G121,MEGHBELA!$A$2:$C$100,3,FALSE))</f>
        <v/>
      </c>
      <c r="I121" s="18"/>
      <c r="J121" s="22" t="str">
        <f t="shared" si="3"/>
        <v/>
      </c>
      <c r="K121" s="10" t="str">
        <f t="shared" ca="1" si="4"/>
        <v/>
      </c>
      <c r="L121" s="7" t="str">
        <f t="shared" ca="1" si="5"/>
        <v/>
      </c>
    </row>
    <row r="122" spans="8:12" x14ac:dyDescent="0.25">
      <c r="H122" s="10" t="str">
        <f>IF(G122="","",VLOOKUP(G122,MEGHBELA!$A$2:$C$100,3,FALSE))</f>
        <v/>
      </c>
      <c r="I122" s="19"/>
      <c r="J122" s="22" t="str">
        <f t="shared" si="3"/>
        <v/>
      </c>
      <c r="K122" s="10" t="str">
        <f t="shared" ca="1" si="4"/>
        <v/>
      </c>
      <c r="L122" s="7" t="str">
        <f t="shared" ca="1" si="5"/>
        <v/>
      </c>
    </row>
    <row r="123" spans="8:12" x14ac:dyDescent="0.25">
      <c r="H123" s="10" t="str">
        <f>IF(G123="","",VLOOKUP(G123,MEGHBELA!$A$2:$C$100,3,FALSE))</f>
        <v/>
      </c>
      <c r="I123" s="18"/>
      <c r="J123" s="22" t="str">
        <f t="shared" si="3"/>
        <v/>
      </c>
      <c r="K123" s="10" t="str">
        <f t="shared" ca="1" si="4"/>
        <v/>
      </c>
      <c r="L123" s="7" t="str">
        <f t="shared" ca="1" si="5"/>
        <v/>
      </c>
    </row>
    <row r="124" spans="8:12" x14ac:dyDescent="0.25">
      <c r="H124" s="10" t="str">
        <f>IF(G124="","",VLOOKUP(G124,MEGHBELA!$A$2:$C$100,3,FALSE))</f>
        <v/>
      </c>
      <c r="I124" s="19"/>
      <c r="J124" s="22" t="str">
        <f t="shared" si="3"/>
        <v/>
      </c>
      <c r="K124" s="10" t="str">
        <f t="shared" ca="1" si="4"/>
        <v/>
      </c>
      <c r="L124" s="7" t="str">
        <f t="shared" ca="1" si="5"/>
        <v/>
      </c>
    </row>
    <row r="125" spans="8:12" x14ac:dyDescent="0.25">
      <c r="H125" s="10" t="str">
        <f>IF(G125="","",VLOOKUP(G125,MEGHBELA!$A$2:$C$100,3,FALSE))</f>
        <v/>
      </c>
      <c r="I125" s="18"/>
      <c r="J125" s="22" t="str">
        <f t="shared" si="3"/>
        <v/>
      </c>
      <c r="K125" s="10" t="str">
        <f t="shared" ca="1" si="4"/>
        <v/>
      </c>
      <c r="L125" s="7" t="str">
        <f t="shared" ca="1" si="5"/>
        <v/>
      </c>
    </row>
    <row r="126" spans="8:12" x14ac:dyDescent="0.25">
      <c r="H126" s="10" t="str">
        <f>IF(G126="","",VLOOKUP(G126,MEGHBELA!$A$2:$C$100,3,FALSE))</f>
        <v/>
      </c>
      <c r="I126" s="19"/>
      <c r="J126" s="22" t="str">
        <f t="shared" si="3"/>
        <v/>
      </c>
      <c r="K126" s="10" t="str">
        <f t="shared" ca="1" si="4"/>
        <v/>
      </c>
      <c r="L126" s="7" t="str">
        <f t="shared" ca="1" si="5"/>
        <v/>
      </c>
    </row>
    <row r="127" spans="8:12" x14ac:dyDescent="0.25">
      <c r="H127" s="10" t="str">
        <f>IF(G127="","",VLOOKUP(G127,MEGHBELA!$A$2:$C$100,3,FALSE))</f>
        <v/>
      </c>
      <c r="I127" s="18"/>
      <c r="J127" s="22" t="str">
        <f t="shared" si="3"/>
        <v/>
      </c>
      <c r="K127" s="10" t="str">
        <f t="shared" ca="1" si="4"/>
        <v/>
      </c>
      <c r="L127" s="7" t="str">
        <f t="shared" ca="1" si="5"/>
        <v/>
      </c>
    </row>
    <row r="128" spans="8:12" x14ac:dyDescent="0.25">
      <c r="H128" s="10" t="str">
        <f>IF(G128="","",VLOOKUP(G128,MEGHBELA!$A$2:$C$100,3,FALSE))</f>
        <v/>
      </c>
      <c r="I128" s="19"/>
      <c r="J128" s="22" t="str">
        <f t="shared" si="3"/>
        <v/>
      </c>
      <c r="K128" s="10" t="str">
        <f t="shared" ca="1" si="4"/>
        <v/>
      </c>
      <c r="L128" s="7" t="str">
        <f t="shared" ca="1" si="5"/>
        <v/>
      </c>
    </row>
    <row r="129" spans="8:12" x14ac:dyDescent="0.25">
      <c r="H129" s="10" t="str">
        <f>IF(G129="","",VLOOKUP(G129,MEGHBELA!$A$2:$C$100,3,FALSE))</f>
        <v/>
      </c>
      <c r="I129" s="18"/>
      <c r="J129" s="22" t="str">
        <f t="shared" si="3"/>
        <v/>
      </c>
      <c r="K129" s="10" t="str">
        <f t="shared" ca="1" si="4"/>
        <v/>
      </c>
      <c r="L129" s="7" t="str">
        <f t="shared" ca="1" si="5"/>
        <v/>
      </c>
    </row>
    <row r="130" spans="8:12" x14ac:dyDescent="0.25">
      <c r="H130" s="10" t="str">
        <f>IF(G130="","",VLOOKUP(G130,MEGHBELA!$A$2:$C$100,3,FALSE))</f>
        <v/>
      </c>
      <c r="I130" s="19"/>
      <c r="J130" s="22" t="str">
        <f t="shared" ref="J130:J193" si="6">IF(OR(I130="",H130=""),"",I130+H130)</f>
        <v/>
      </c>
      <c r="K130" s="10" t="str">
        <f t="shared" ref="K130:K193" ca="1" si="7">IF(J130="","",J130-TODAY())</f>
        <v/>
      </c>
      <c r="L130" s="7" t="str">
        <f t="shared" ref="L130:L193" ca="1" si="8">IF(K130="","",
IF(K130&lt;0,
HYPERLINK("https://web.whatsapp.com/send?phone=91"&amp;F130&amp;"&amp;text=Dear%20Customer,%20your%20internet%20plan%20expired%20on%20"&amp;TEXT(J130,"dd-mm-yyyy")&amp;".%20Your%20service%20is%20now%20stopped.%20Please%20renew%20immediately%20to%20restore%20service.%0A-----TRUESPEED%20BROADBAND","Send Stop Message"),
IF(K130&lt;=3,
HYPERLINK("https://web.whatsapp.com/send?phone=91"&amp;F130&amp;"&amp;text=Dear%20Customer,%20your%20internet%20plan%20will%20expire%20in%20"&amp;K130&amp;"%20days.%20Please%20renew%20before%20"&amp;TEXT(J130,"dd-mm-yyyy")&amp;".%0A-----TRUESPEED%20BROADBAND","Send Renewal Alert"),
"")))</f>
        <v/>
      </c>
    </row>
    <row r="131" spans="8:12" x14ac:dyDescent="0.25">
      <c r="H131" s="10" t="str">
        <f>IF(G131="","",VLOOKUP(G131,MEGHBELA!$A$2:$C$100,3,FALSE))</f>
        <v/>
      </c>
      <c r="I131" s="18"/>
      <c r="J131" s="22" t="str">
        <f t="shared" si="6"/>
        <v/>
      </c>
      <c r="K131" s="10" t="str">
        <f t="shared" ca="1" si="7"/>
        <v/>
      </c>
      <c r="L131" s="7" t="str">
        <f t="shared" ca="1" si="8"/>
        <v/>
      </c>
    </row>
    <row r="132" spans="8:12" x14ac:dyDescent="0.25">
      <c r="H132" s="10" t="str">
        <f>IF(G132="","",VLOOKUP(G132,MEGHBELA!$A$2:$C$100,3,FALSE))</f>
        <v/>
      </c>
      <c r="I132" s="19"/>
      <c r="J132" s="22" t="str">
        <f t="shared" si="6"/>
        <v/>
      </c>
      <c r="K132" s="10" t="str">
        <f t="shared" ca="1" si="7"/>
        <v/>
      </c>
      <c r="L132" s="7" t="str">
        <f t="shared" ca="1" si="8"/>
        <v/>
      </c>
    </row>
    <row r="133" spans="8:12" x14ac:dyDescent="0.25">
      <c r="H133" s="10" t="str">
        <f>IF(G133="","",VLOOKUP(G133,MEGHBELA!$A$2:$C$100,3,FALSE))</f>
        <v/>
      </c>
      <c r="I133" s="18"/>
      <c r="J133" s="22" t="str">
        <f t="shared" si="6"/>
        <v/>
      </c>
      <c r="K133" s="10" t="str">
        <f t="shared" ca="1" si="7"/>
        <v/>
      </c>
      <c r="L133" s="7" t="str">
        <f t="shared" ca="1" si="8"/>
        <v/>
      </c>
    </row>
    <row r="134" spans="8:12" x14ac:dyDescent="0.25">
      <c r="H134" s="10" t="str">
        <f>IF(G134="","",VLOOKUP(G134,MEGHBELA!$A$2:$C$100,3,FALSE))</f>
        <v/>
      </c>
      <c r="I134" s="19"/>
      <c r="J134" s="22" t="str">
        <f t="shared" si="6"/>
        <v/>
      </c>
      <c r="K134" s="10" t="str">
        <f t="shared" ca="1" si="7"/>
        <v/>
      </c>
      <c r="L134" s="7" t="str">
        <f t="shared" ca="1" si="8"/>
        <v/>
      </c>
    </row>
    <row r="135" spans="8:12" x14ac:dyDescent="0.25">
      <c r="H135" s="10" t="str">
        <f>IF(G135="","",VLOOKUP(G135,MEGHBELA!$A$2:$C$100,3,FALSE))</f>
        <v/>
      </c>
      <c r="I135" s="18"/>
      <c r="J135" s="22" t="str">
        <f t="shared" si="6"/>
        <v/>
      </c>
      <c r="K135" s="10" t="str">
        <f t="shared" ca="1" si="7"/>
        <v/>
      </c>
      <c r="L135" s="7" t="str">
        <f t="shared" ca="1" si="8"/>
        <v/>
      </c>
    </row>
    <row r="136" spans="8:12" x14ac:dyDescent="0.25">
      <c r="H136" s="10" t="str">
        <f>IF(G136="","",VLOOKUP(G136,MEGHBELA!$A$2:$C$100,3,FALSE))</f>
        <v/>
      </c>
      <c r="I136" s="19"/>
      <c r="J136" s="22" t="str">
        <f t="shared" si="6"/>
        <v/>
      </c>
      <c r="K136" s="10" t="str">
        <f t="shared" ca="1" si="7"/>
        <v/>
      </c>
      <c r="L136" s="7" t="str">
        <f t="shared" ca="1" si="8"/>
        <v/>
      </c>
    </row>
    <row r="137" spans="8:12" x14ac:dyDescent="0.25">
      <c r="H137" s="10" t="str">
        <f>IF(G137="","",VLOOKUP(G137,MEGHBELA!$A$2:$C$100,3,FALSE))</f>
        <v/>
      </c>
      <c r="I137" s="18"/>
      <c r="J137" s="22" t="str">
        <f t="shared" si="6"/>
        <v/>
      </c>
      <c r="K137" s="10" t="str">
        <f t="shared" ca="1" si="7"/>
        <v/>
      </c>
      <c r="L137" s="7" t="str">
        <f t="shared" ca="1" si="8"/>
        <v/>
      </c>
    </row>
    <row r="138" spans="8:12" x14ac:dyDescent="0.25">
      <c r="H138" s="10" t="str">
        <f>IF(G138="","",VLOOKUP(G138,MEGHBELA!$A$2:$C$100,3,FALSE))</f>
        <v/>
      </c>
      <c r="I138" s="19"/>
      <c r="J138" s="22" t="str">
        <f t="shared" si="6"/>
        <v/>
      </c>
      <c r="K138" s="10" t="str">
        <f t="shared" ca="1" si="7"/>
        <v/>
      </c>
      <c r="L138" s="7" t="str">
        <f t="shared" ca="1" si="8"/>
        <v/>
      </c>
    </row>
    <row r="139" spans="8:12" x14ac:dyDescent="0.25">
      <c r="H139" s="10" t="str">
        <f>IF(G139="","",VLOOKUP(G139,MEGHBELA!$A$2:$C$100,3,FALSE))</f>
        <v/>
      </c>
      <c r="I139" s="18"/>
      <c r="J139" s="22" t="str">
        <f t="shared" si="6"/>
        <v/>
      </c>
      <c r="K139" s="10" t="str">
        <f t="shared" ca="1" si="7"/>
        <v/>
      </c>
      <c r="L139" s="7" t="str">
        <f t="shared" ca="1" si="8"/>
        <v/>
      </c>
    </row>
    <row r="140" spans="8:12" x14ac:dyDescent="0.25">
      <c r="H140" s="10" t="str">
        <f>IF(G140="","",VLOOKUP(G140,MEGHBELA!$A$2:$C$100,3,FALSE))</f>
        <v/>
      </c>
      <c r="I140" s="19"/>
      <c r="J140" s="22" t="str">
        <f t="shared" si="6"/>
        <v/>
      </c>
      <c r="K140" s="10" t="str">
        <f t="shared" ca="1" si="7"/>
        <v/>
      </c>
      <c r="L140" s="7" t="str">
        <f t="shared" ca="1" si="8"/>
        <v/>
      </c>
    </row>
    <row r="141" spans="8:12" x14ac:dyDescent="0.25">
      <c r="H141" s="10" t="str">
        <f>IF(G141="","",VLOOKUP(G141,MEGHBELA!$A$2:$C$100,3,FALSE))</f>
        <v/>
      </c>
      <c r="I141" s="18"/>
      <c r="J141" s="22" t="str">
        <f t="shared" si="6"/>
        <v/>
      </c>
      <c r="K141" s="10" t="str">
        <f t="shared" ca="1" si="7"/>
        <v/>
      </c>
      <c r="L141" s="7" t="str">
        <f t="shared" ca="1" si="8"/>
        <v/>
      </c>
    </row>
    <row r="142" spans="8:12" x14ac:dyDescent="0.25">
      <c r="H142" s="10" t="str">
        <f>IF(G142="","",VLOOKUP(G142,MEGHBELA!$A$2:$C$100,3,FALSE))</f>
        <v/>
      </c>
      <c r="I142" s="19"/>
      <c r="J142" s="22" t="str">
        <f t="shared" si="6"/>
        <v/>
      </c>
      <c r="K142" s="10" t="str">
        <f t="shared" ca="1" si="7"/>
        <v/>
      </c>
      <c r="L142" s="7" t="str">
        <f t="shared" ca="1" si="8"/>
        <v/>
      </c>
    </row>
    <row r="143" spans="8:12" x14ac:dyDescent="0.25">
      <c r="H143" s="10" t="str">
        <f>IF(G143="","",VLOOKUP(G143,MEGHBELA!$A$2:$C$100,3,FALSE))</f>
        <v/>
      </c>
      <c r="I143" s="18"/>
      <c r="J143" s="22" t="str">
        <f t="shared" si="6"/>
        <v/>
      </c>
      <c r="K143" s="10" t="str">
        <f t="shared" ca="1" si="7"/>
        <v/>
      </c>
      <c r="L143" s="7" t="str">
        <f t="shared" ca="1" si="8"/>
        <v/>
      </c>
    </row>
    <row r="144" spans="8:12" x14ac:dyDescent="0.25">
      <c r="H144" s="10" t="str">
        <f>IF(G144="","",VLOOKUP(G144,MEGHBELA!$A$2:$C$100,3,FALSE))</f>
        <v/>
      </c>
      <c r="I144" s="19"/>
      <c r="J144" s="22" t="str">
        <f t="shared" si="6"/>
        <v/>
      </c>
      <c r="K144" s="10" t="str">
        <f t="shared" ca="1" si="7"/>
        <v/>
      </c>
      <c r="L144" s="7" t="str">
        <f t="shared" ca="1" si="8"/>
        <v/>
      </c>
    </row>
    <row r="145" spans="8:12" x14ac:dyDescent="0.25">
      <c r="H145" s="10" t="str">
        <f>IF(G145="","",VLOOKUP(G145,MEGHBELA!$A$2:$C$100,3,FALSE))</f>
        <v/>
      </c>
      <c r="I145" s="18"/>
      <c r="J145" s="22" t="str">
        <f t="shared" si="6"/>
        <v/>
      </c>
      <c r="K145" s="10" t="str">
        <f t="shared" ca="1" si="7"/>
        <v/>
      </c>
      <c r="L145" s="7" t="str">
        <f t="shared" ca="1" si="8"/>
        <v/>
      </c>
    </row>
    <row r="146" spans="8:12" x14ac:dyDescent="0.25">
      <c r="H146" s="10" t="str">
        <f>IF(G146="","",VLOOKUP(G146,MEGHBELA!$A$2:$C$100,3,FALSE))</f>
        <v/>
      </c>
      <c r="I146" s="19"/>
      <c r="J146" s="22" t="str">
        <f t="shared" si="6"/>
        <v/>
      </c>
      <c r="K146" s="10" t="str">
        <f t="shared" ca="1" si="7"/>
        <v/>
      </c>
      <c r="L146" s="7" t="str">
        <f t="shared" ca="1" si="8"/>
        <v/>
      </c>
    </row>
    <row r="147" spans="8:12" x14ac:dyDescent="0.25">
      <c r="H147" s="10" t="str">
        <f>IF(G147="","",VLOOKUP(G147,MEGHBELA!$A$2:$C$100,3,FALSE))</f>
        <v/>
      </c>
      <c r="I147" s="18"/>
      <c r="J147" s="22" t="str">
        <f t="shared" si="6"/>
        <v/>
      </c>
      <c r="K147" s="10" t="str">
        <f t="shared" ca="1" si="7"/>
        <v/>
      </c>
      <c r="L147" s="7" t="str">
        <f t="shared" ca="1" si="8"/>
        <v/>
      </c>
    </row>
    <row r="148" spans="8:12" x14ac:dyDescent="0.25">
      <c r="H148" s="10" t="str">
        <f>IF(G148="","",VLOOKUP(G148,MEGHBELA!$A$2:$C$100,3,FALSE))</f>
        <v/>
      </c>
      <c r="I148" s="19"/>
      <c r="J148" s="22" t="str">
        <f t="shared" si="6"/>
        <v/>
      </c>
      <c r="K148" s="10" t="str">
        <f t="shared" ca="1" si="7"/>
        <v/>
      </c>
      <c r="L148" s="7" t="str">
        <f t="shared" ca="1" si="8"/>
        <v/>
      </c>
    </row>
    <row r="149" spans="8:12" x14ac:dyDescent="0.25">
      <c r="H149" s="10" t="str">
        <f>IF(G149="","",VLOOKUP(G149,MEGHBELA!$A$2:$C$100,3,FALSE))</f>
        <v/>
      </c>
      <c r="I149" s="18"/>
      <c r="J149" s="22" t="str">
        <f t="shared" si="6"/>
        <v/>
      </c>
      <c r="K149" s="10" t="str">
        <f t="shared" ca="1" si="7"/>
        <v/>
      </c>
      <c r="L149" s="7" t="str">
        <f t="shared" ca="1" si="8"/>
        <v/>
      </c>
    </row>
    <row r="150" spans="8:12" x14ac:dyDescent="0.25">
      <c r="H150" s="10" t="str">
        <f>IF(G150="","",VLOOKUP(G150,MEGHBELA!$A$2:$C$100,3,FALSE))</f>
        <v/>
      </c>
      <c r="I150" s="19"/>
      <c r="J150" s="22" t="str">
        <f t="shared" si="6"/>
        <v/>
      </c>
      <c r="K150" s="10" t="str">
        <f t="shared" ca="1" si="7"/>
        <v/>
      </c>
      <c r="L150" s="7" t="str">
        <f t="shared" ca="1" si="8"/>
        <v/>
      </c>
    </row>
    <row r="151" spans="8:12" x14ac:dyDescent="0.25">
      <c r="H151" s="10" t="str">
        <f>IF(G151="","",VLOOKUP(G151,MEGHBELA!$A$2:$C$100,3,FALSE))</f>
        <v/>
      </c>
      <c r="I151" s="18"/>
      <c r="J151" s="22" t="str">
        <f t="shared" si="6"/>
        <v/>
      </c>
      <c r="K151" s="10" t="str">
        <f t="shared" ca="1" si="7"/>
        <v/>
      </c>
      <c r="L151" s="7" t="str">
        <f t="shared" ca="1" si="8"/>
        <v/>
      </c>
    </row>
    <row r="152" spans="8:12" x14ac:dyDescent="0.25">
      <c r="H152" s="10" t="str">
        <f>IF(G152="","",VLOOKUP(G152,MEGHBELA!$A$2:$C$100,3,FALSE))</f>
        <v/>
      </c>
      <c r="I152" s="19"/>
      <c r="J152" s="22" t="str">
        <f t="shared" si="6"/>
        <v/>
      </c>
      <c r="K152" s="10" t="str">
        <f t="shared" ca="1" si="7"/>
        <v/>
      </c>
      <c r="L152" s="7" t="str">
        <f t="shared" ca="1" si="8"/>
        <v/>
      </c>
    </row>
    <row r="153" spans="8:12" x14ac:dyDescent="0.25">
      <c r="H153" s="10" t="str">
        <f>IF(G153="","",VLOOKUP(G153,MEGHBELA!$A$2:$C$100,3,FALSE))</f>
        <v/>
      </c>
      <c r="I153" s="18"/>
      <c r="J153" s="22" t="str">
        <f t="shared" si="6"/>
        <v/>
      </c>
      <c r="K153" s="10" t="str">
        <f t="shared" ca="1" si="7"/>
        <v/>
      </c>
      <c r="L153" s="7" t="str">
        <f t="shared" ca="1" si="8"/>
        <v/>
      </c>
    </row>
    <row r="154" spans="8:12" x14ac:dyDescent="0.25">
      <c r="H154" s="10" t="str">
        <f>IF(G154="","",VLOOKUP(G154,MEGHBELA!$A$2:$C$100,3,FALSE))</f>
        <v/>
      </c>
      <c r="I154" s="19"/>
      <c r="J154" s="22" t="str">
        <f t="shared" si="6"/>
        <v/>
      </c>
      <c r="K154" s="10" t="str">
        <f t="shared" ca="1" si="7"/>
        <v/>
      </c>
      <c r="L154" s="7" t="str">
        <f t="shared" ca="1" si="8"/>
        <v/>
      </c>
    </row>
    <row r="155" spans="8:12" x14ac:dyDescent="0.25">
      <c r="H155" s="10" t="str">
        <f>IF(G155="","",VLOOKUP(G155,MEGHBELA!$A$2:$C$100,3,FALSE))</f>
        <v/>
      </c>
      <c r="I155" s="18"/>
      <c r="J155" s="22" t="str">
        <f t="shared" si="6"/>
        <v/>
      </c>
      <c r="K155" s="10" t="str">
        <f t="shared" ca="1" si="7"/>
        <v/>
      </c>
      <c r="L155" s="7" t="str">
        <f t="shared" ca="1" si="8"/>
        <v/>
      </c>
    </row>
    <row r="156" spans="8:12" x14ac:dyDescent="0.25">
      <c r="H156" s="10" t="str">
        <f>IF(G156="","",VLOOKUP(G156,MEGHBELA!$A$2:$C$100,3,FALSE))</f>
        <v/>
      </c>
      <c r="I156" s="19"/>
      <c r="J156" s="22" t="str">
        <f t="shared" si="6"/>
        <v/>
      </c>
      <c r="K156" s="10" t="str">
        <f t="shared" ca="1" si="7"/>
        <v/>
      </c>
      <c r="L156" s="7" t="str">
        <f t="shared" ca="1" si="8"/>
        <v/>
      </c>
    </row>
    <row r="157" spans="8:12" x14ac:dyDescent="0.25">
      <c r="H157" s="10" t="str">
        <f>IF(G157="","",VLOOKUP(G157,MEGHBELA!$A$2:$C$100,3,FALSE))</f>
        <v/>
      </c>
      <c r="I157" s="18"/>
      <c r="J157" s="22" t="str">
        <f t="shared" si="6"/>
        <v/>
      </c>
      <c r="K157" s="10" t="str">
        <f t="shared" ca="1" si="7"/>
        <v/>
      </c>
      <c r="L157" s="7" t="str">
        <f t="shared" ca="1" si="8"/>
        <v/>
      </c>
    </row>
    <row r="158" spans="8:12" x14ac:dyDescent="0.25">
      <c r="H158" s="10" t="str">
        <f>IF(G158="","",VLOOKUP(G158,MEGHBELA!$A$2:$C$100,3,FALSE))</f>
        <v/>
      </c>
      <c r="I158" s="19"/>
      <c r="J158" s="22" t="str">
        <f t="shared" si="6"/>
        <v/>
      </c>
      <c r="K158" s="10" t="str">
        <f t="shared" ca="1" si="7"/>
        <v/>
      </c>
      <c r="L158" s="7" t="str">
        <f t="shared" ca="1" si="8"/>
        <v/>
      </c>
    </row>
    <row r="159" spans="8:12" x14ac:dyDescent="0.25">
      <c r="H159" s="10" t="str">
        <f>IF(G159="","",VLOOKUP(G159,MEGHBELA!$A$2:$C$100,3,FALSE))</f>
        <v/>
      </c>
      <c r="I159" s="18"/>
      <c r="J159" s="22" t="str">
        <f t="shared" si="6"/>
        <v/>
      </c>
      <c r="K159" s="10" t="str">
        <f t="shared" ca="1" si="7"/>
        <v/>
      </c>
      <c r="L159" s="7" t="str">
        <f t="shared" ca="1" si="8"/>
        <v/>
      </c>
    </row>
    <row r="160" spans="8:12" x14ac:dyDescent="0.25">
      <c r="H160" s="10" t="str">
        <f>IF(G160="","",VLOOKUP(G160,MEGHBELA!$A$2:$C$100,3,FALSE))</f>
        <v/>
      </c>
      <c r="I160" s="19"/>
      <c r="J160" s="22" t="str">
        <f t="shared" si="6"/>
        <v/>
      </c>
      <c r="K160" s="10" t="str">
        <f t="shared" ca="1" si="7"/>
        <v/>
      </c>
      <c r="L160" s="7" t="str">
        <f t="shared" ca="1" si="8"/>
        <v/>
      </c>
    </row>
    <row r="161" spans="8:12" x14ac:dyDescent="0.25">
      <c r="H161" s="10" t="str">
        <f>IF(G161="","",VLOOKUP(G161,MEGHBELA!$A$2:$C$100,3,FALSE))</f>
        <v/>
      </c>
      <c r="I161" s="18"/>
      <c r="J161" s="22" t="str">
        <f t="shared" si="6"/>
        <v/>
      </c>
      <c r="K161" s="10" t="str">
        <f t="shared" ca="1" si="7"/>
        <v/>
      </c>
      <c r="L161" s="7" t="str">
        <f t="shared" ca="1" si="8"/>
        <v/>
      </c>
    </row>
    <row r="162" spans="8:12" x14ac:dyDescent="0.25">
      <c r="H162" s="10" t="str">
        <f>IF(G162="","",VLOOKUP(G162,MEGHBELA!$A$2:$C$100,3,FALSE))</f>
        <v/>
      </c>
      <c r="I162" s="19"/>
      <c r="J162" s="22" t="str">
        <f t="shared" si="6"/>
        <v/>
      </c>
      <c r="K162" s="10" t="str">
        <f t="shared" ca="1" si="7"/>
        <v/>
      </c>
      <c r="L162" s="7" t="str">
        <f t="shared" ca="1" si="8"/>
        <v/>
      </c>
    </row>
    <row r="163" spans="8:12" x14ac:dyDescent="0.25">
      <c r="H163" s="10" t="str">
        <f>IF(G163="","",VLOOKUP(G163,MEGHBELA!$A$2:$C$100,3,FALSE))</f>
        <v/>
      </c>
      <c r="I163" s="18"/>
      <c r="J163" s="22" t="str">
        <f t="shared" si="6"/>
        <v/>
      </c>
      <c r="K163" s="10" t="str">
        <f t="shared" ca="1" si="7"/>
        <v/>
      </c>
      <c r="L163" s="7" t="str">
        <f t="shared" ca="1" si="8"/>
        <v/>
      </c>
    </row>
    <row r="164" spans="8:12" x14ac:dyDescent="0.25">
      <c r="H164" s="10" t="str">
        <f>IF(G164="","",VLOOKUP(G164,MEGHBELA!$A$2:$C$100,3,FALSE))</f>
        <v/>
      </c>
      <c r="I164" s="19"/>
      <c r="J164" s="22" t="str">
        <f t="shared" si="6"/>
        <v/>
      </c>
      <c r="K164" s="10" t="str">
        <f t="shared" ca="1" si="7"/>
        <v/>
      </c>
      <c r="L164" s="7" t="str">
        <f t="shared" ca="1" si="8"/>
        <v/>
      </c>
    </row>
    <row r="165" spans="8:12" x14ac:dyDescent="0.25">
      <c r="H165" s="10" t="str">
        <f>IF(G165="","",VLOOKUP(G165,MEGHBELA!$A$2:$C$100,3,FALSE))</f>
        <v/>
      </c>
      <c r="I165" s="18"/>
      <c r="J165" s="22" t="str">
        <f t="shared" si="6"/>
        <v/>
      </c>
      <c r="K165" s="10" t="str">
        <f t="shared" ca="1" si="7"/>
        <v/>
      </c>
      <c r="L165" s="7" t="str">
        <f t="shared" ca="1" si="8"/>
        <v/>
      </c>
    </row>
    <row r="166" spans="8:12" x14ac:dyDescent="0.25">
      <c r="H166" s="10" t="str">
        <f>IF(G166="","",VLOOKUP(G166,MEGHBELA!$A$2:$C$100,3,FALSE))</f>
        <v/>
      </c>
      <c r="I166" s="19"/>
      <c r="J166" s="22" t="str">
        <f t="shared" si="6"/>
        <v/>
      </c>
      <c r="K166" s="10" t="str">
        <f t="shared" ca="1" si="7"/>
        <v/>
      </c>
      <c r="L166" s="7" t="str">
        <f t="shared" ca="1" si="8"/>
        <v/>
      </c>
    </row>
    <row r="167" spans="8:12" x14ac:dyDescent="0.25">
      <c r="H167" s="10" t="str">
        <f>IF(G167="","",VLOOKUP(G167,MEGHBELA!$A$2:$C$100,3,FALSE))</f>
        <v/>
      </c>
      <c r="I167" s="18"/>
      <c r="J167" s="22" t="str">
        <f t="shared" si="6"/>
        <v/>
      </c>
      <c r="K167" s="10" t="str">
        <f t="shared" ca="1" si="7"/>
        <v/>
      </c>
      <c r="L167" s="7" t="str">
        <f t="shared" ca="1" si="8"/>
        <v/>
      </c>
    </row>
    <row r="168" spans="8:12" x14ac:dyDescent="0.25">
      <c r="H168" s="10" t="str">
        <f>IF(G168="","",VLOOKUP(G168,MEGHBELA!$A$2:$C$100,3,FALSE))</f>
        <v/>
      </c>
      <c r="I168" s="19"/>
      <c r="J168" s="22" t="str">
        <f t="shared" si="6"/>
        <v/>
      </c>
      <c r="K168" s="10" t="str">
        <f t="shared" ca="1" si="7"/>
        <v/>
      </c>
      <c r="L168" s="7" t="str">
        <f t="shared" ca="1" si="8"/>
        <v/>
      </c>
    </row>
    <row r="169" spans="8:12" x14ac:dyDescent="0.25">
      <c r="H169" s="10" t="str">
        <f>IF(G169="","",VLOOKUP(G169,MEGHBELA!$A$2:$C$100,3,FALSE))</f>
        <v/>
      </c>
      <c r="I169" s="18"/>
      <c r="J169" s="22" t="str">
        <f t="shared" si="6"/>
        <v/>
      </c>
      <c r="K169" s="10" t="str">
        <f t="shared" ca="1" si="7"/>
        <v/>
      </c>
      <c r="L169" s="7" t="str">
        <f t="shared" ca="1" si="8"/>
        <v/>
      </c>
    </row>
    <row r="170" spans="8:12" x14ac:dyDescent="0.25">
      <c r="H170" s="10" t="str">
        <f>IF(G170="","",VLOOKUP(G170,MEGHBELA!$A$2:$C$100,3,FALSE))</f>
        <v/>
      </c>
      <c r="I170" s="19"/>
      <c r="J170" s="22" t="str">
        <f t="shared" si="6"/>
        <v/>
      </c>
      <c r="K170" s="10" t="str">
        <f t="shared" ca="1" si="7"/>
        <v/>
      </c>
      <c r="L170" s="7" t="str">
        <f t="shared" ca="1" si="8"/>
        <v/>
      </c>
    </row>
    <row r="171" spans="8:12" x14ac:dyDescent="0.25">
      <c r="H171" s="10" t="str">
        <f>IF(G171="","",VLOOKUP(G171,MEGHBELA!$A$2:$C$100,3,FALSE))</f>
        <v/>
      </c>
      <c r="I171" s="18"/>
      <c r="J171" s="22" t="str">
        <f t="shared" si="6"/>
        <v/>
      </c>
      <c r="K171" s="10" t="str">
        <f t="shared" ca="1" si="7"/>
        <v/>
      </c>
      <c r="L171" s="7" t="str">
        <f t="shared" ca="1" si="8"/>
        <v/>
      </c>
    </row>
    <row r="172" spans="8:12" x14ac:dyDescent="0.25">
      <c r="H172" s="10" t="str">
        <f>IF(G172="","",VLOOKUP(G172,MEGHBELA!$A$2:$C$100,3,FALSE))</f>
        <v/>
      </c>
      <c r="I172" s="19"/>
      <c r="J172" s="22" t="str">
        <f t="shared" si="6"/>
        <v/>
      </c>
      <c r="K172" s="10" t="str">
        <f t="shared" ca="1" si="7"/>
        <v/>
      </c>
      <c r="L172" s="7" t="str">
        <f t="shared" ca="1" si="8"/>
        <v/>
      </c>
    </row>
    <row r="173" spans="8:12" x14ac:dyDescent="0.25">
      <c r="H173" s="10" t="str">
        <f>IF(G173="","",VLOOKUP(G173,MEGHBELA!$A$2:$C$100,3,FALSE))</f>
        <v/>
      </c>
      <c r="I173" s="18"/>
      <c r="J173" s="22" t="str">
        <f t="shared" si="6"/>
        <v/>
      </c>
      <c r="K173" s="10" t="str">
        <f t="shared" ca="1" si="7"/>
        <v/>
      </c>
      <c r="L173" s="7" t="str">
        <f t="shared" ca="1" si="8"/>
        <v/>
      </c>
    </row>
    <row r="174" spans="8:12" x14ac:dyDescent="0.25">
      <c r="H174" s="10" t="str">
        <f>IF(G174="","",VLOOKUP(G174,MEGHBELA!$A$2:$C$100,3,FALSE))</f>
        <v/>
      </c>
      <c r="I174" s="19"/>
      <c r="J174" s="22" t="str">
        <f t="shared" si="6"/>
        <v/>
      </c>
      <c r="K174" s="10" t="str">
        <f t="shared" ca="1" si="7"/>
        <v/>
      </c>
      <c r="L174" s="7" t="str">
        <f t="shared" ca="1" si="8"/>
        <v/>
      </c>
    </row>
    <row r="175" spans="8:12" x14ac:dyDescent="0.25">
      <c r="H175" s="10" t="str">
        <f>IF(G175="","",VLOOKUP(G175,MEGHBELA!$A$2:$C$100,3,FALSE))</f>
        <v/>
      </c>
      <c r="I175" s="18"/>
      <c r="J175" s="22" t="str">
        <f t="shared" si="6"/>
        <v/>
      </c>
      <c r="K175" s="10" t="str">
        <f t="shared" ca="1" si="7"/>
        <v/>
      </c>
      <c r="L175" s="7" t="str">
        <f t="shared" ca="1" si="8"/>
        <v/>
      </c>
    </row>
    <row r="176" spans="8:12" x14ac:dyDescent="0.25">
      <c r="H176" s="10" t="str">
        <f>IF(G176="","",VLOOKUP(G176,MEGHBELA!$A$2:$C$100,3,FALSE))</f>
        <v/>
      </c>
      <c r="I176" s="19"/>
      <c r="J176" s="22" t="str">
        <f t="shared" si="6"/>
        <v/>
      </c>
      <c r="K176" s="10" t="str">
        <f t="shared" ca="1" si="7"/>
        <v/>
      </c>
      <c r="L176" s="7" t="str">
        <f t="shared" ca="1" si="8"/>
        <v/>
      </c>
    </row>
    <row r="177" spans="8:12" x14ac:dyDescent="0.25">
      <c r="H177" s="10" t="str">
        <f>IF(G177="","",VLOOKUP(G177,MEGHBELA!$A$2:$C$100,3,FALSE))</f>
        <v/>
      </c>
      <c r="I177" s="18"/>
      <c r="J177" s="22" t="str">
        <f t="shared" si="6"/>
        <v/>
      </c>
      <c r="K177" s="10" t="str">
        <f t="shared" ca="1" si="7"/>
        <v/>
      </c>
      <c r="L177" s="7" t="str">
        <f t="shared" ca="1" si="8"/>
        <v/>
      </c>
    </row>
    <row r="178" spans="8:12" x14ac:dyDescent="0.25">
      <c r="H178" s="10" t="str">
        <f>IF(G178="","",VLOOKUP(G178,MEGHBELA!$A$2:$C$100,3,FALSE))</f>
        <v/>
      </c>
      <c r="I178" s="19"/>
      <c r="J178" s="22" t="str">
        <f t="shared" si="6"/>
        <v/>
      </c>
      <c r="K178" s="10" t="str">
        <f t="shared" ca="1" si="7"/>
        <v/>
      </c>
      <c r="L178" s="7" t="str">
        <f t="shared" ca="1" si="8"/>
        <v/>
      </c>
    </row>
    <row r="179" spans="8:12" x14ac:dyDescent="0.25">
      <c r="H179" s="10" t="str">
        <f>IF(G179="","",VLOOKUP(G179,MEGHBELA!$A$2:$C$100,3,FALSE))</f>
        <v/>
      </c>
      <c r="I179" s="18"/>
      <c r="J179" s="22" t="str">
        <f t="shared" si="6"/>
        <v/>
      </c>
      <c r="K179" s="10" t="str">
        <f t="shared" ca="1" si="7"/>
        <v/>
      </c>
      <c r="L179" s="7" t="str">
        <f t="shared" ca="1" si="8"/>
        <v/>
      </c>
    </row>
    <row r="180" spans="8:12" x14ac:dyDescent="0.25">
      <c r="H180" s="10" t="str">
        <f>IF(G180="","",VLOOKUP(G180,MEGHBELA!$A$2:$C$100,3,FALSE))</f>
        <v/>
      </c>
      <c r="I180" s="19"/>
      <c r="J180" s="22" t="str">
        <f t="shared" si="6"/>
        <v/>
      </c>
      <c r="K180" s="10" t="str">
        <f t="shared" ca="1" si="7"/>
        <v/>
      </c>
      <c r="L180" s="7" t="str">
        <f t="shared" ca="1" si="8"/>
        <v/>
      </c>
    </row>
    <row r="181" spans="8:12" x14ac:dyDescent="0.25">
      <c r="H181" s="10" t="str">
        <f>IF(G181="","",VLOOKUP(G181,MEGHBELA!$A$2:$C$100,3,FALSE))</f>
        <v/>
      </c>
      <c r="I181" s="18"/>
      <c r="J181" s="22" t="str">
        <f t="shared" si="6"/>
        <v/>
      </c>
      <c r="K181" s="10" t="str">
        <f t="shared" ca="1" si="7"/>
        <v/>
      </c>
      <c r="L181" s="7" t="str">
        <f t="shared" ca="1" si="8"/>
        <v/>
      </c>
    </row>
    <row r="182" spans="8:12" x14ac:dyDescent="0.25">
      <c r="H182" s="10" t="str">
        <f>IF(G182="","",VLOOKUP(G182,MEGHBELA!$A$2:$C$100,3,FALSE))</f>
        <v/>
      </c>
      <c r="I182" s="19"/>
      <c r="J182" s="22" t="str">
        <f t="shared" si="6"/>
        <v/>
      </c>
      <c r="K182" s="10" t="str">
        <f t="shared" ca="1" si="7"/>
        <v/>
      </c>
      <c r="L182" s="7" t="str">
        <f t="shared" ca="1" si="8"/>
        <v/>
      </c>
    </row>
    <row r="183" spans="8:12" x14ac:dyDescent="0.25">
      <c r="H183" s="10" t="str">
        <f>IF(G183="","",VLOOKUP(G183,MEGHBELA!$A$2:$C$100,3,FALSE))</f>
        <v/>
      </c>
      <c r="I183" s="18"/>
      <c r="J183" s="22" t="str">
        <f t="shared" si="6"/>
        <v/>
      </c>
      <c r="K183" s="10" t="str">
        <f t="shared" ca="1" si="7"/>
        <v/>
      </c>
      <c r="L183" s="7" t="str">
        <f t="shared" ca="1" si="8"/>
        <v/>
      </c>
    </row>
    <row r="184" spans="8:12" x14ac:dyDescent="0.25">
      <c r="H184" s="10" t="str">
        <f>IF(G184="","",VLOOKUP(G184,MEGHBELA!$A$2:$C$100,3,FALSE))</f>
        <v/>
      </c>
      <c r="I184" s="19"/>
      <c r="J184" s="22" t="str">
        <f t="shared" si="6"/>
        <v/>
      </c>
      <c r="K184" s="10" t="str">
        <f t="shared" ca="1" si="7"/>
        <v/>
      </c>
      <c r="L184" s="7" t="str">
        <f t="shared" ca="1" si="8"/>
        <v/>
      </c>
    </row>
    <row r="185" spans="8:12" x14ac:dyDescent="0.25">
      <c r="H185" s="10" t="str">
        <f>IF(G185="","",VLOOKUP(G185,MEGHBELA!$A$2:$C$100,3,FALSE))</f>
        <v/>
      </c>
      <c r="I185" s="18"/>
      <c r="J185" s="22" t="str">
        <f t="shared" si="6"/>
        <v/>
      </c>
      <c r="K185" s="10" t="str">
        <f t="shared" ca="1" si="7"/>
        <v/>
      </c>
      <c r="L185" s="7" t="str">
        <f t="shared" ca="1" si="8"/>
        <v/>
      </c>
    </row>
    <row r="186" spans="8:12" x14ac:dyDescent="0.25">
      <c r="H186" s="10" t="str">
        <f>IF(G186="","",VLOOKUP(G186,MEGHBELA!$A$2:$C$100,3,FALSE))</f>
        <v/>
      </c>
      <c r="I186" s="19"/>
      <c r="J186" s="22" t="str">
        <f t="shared" si="6"/>
        <v/>
      </c>
      <c r="K186" s="10" t="str">
        <f t="shared" ca="1" si="7"/>
        <v/>
      </c>
      <c r="L186" s="7" t="str">
        <f t="shared" ca="1" si="8"/>
        <v/>
      </c>
    </row>
    <row r="187" spans="8:12" x14ac:dyDescent="0.25">
      <c r="H187" s="10" t="str">
        <f>IF(G187="","",VLOOKUP(G187,MEGHBELA!$A$2:$C$100,3,FALSE))</f>
        <v/>
      </c>
      <c r="I187" s="18"/>
      <c r="J187" s="22" t="str">
        <f t="shared" si="6"/>
        <v/>
      </c>
      <c r="K187" s="10" t="str">
        <f t="shared" ca="1" si="7"/>
        <v/>
      </c>
      <c r="L187" s="7" t="str">
        <f t="shared" ca="1" si="8"/>
        <v/>
      </c>
    </row>
    <row r="188" spans="8:12" x14ac:dyDescent="0.25">
      <c r="H188" s="10" t="str">
        <f>IF(G188="","",VLOOKUP(G188,MEGHBELA!$A$2:$C$100,3,FALSE))</f>
        <v/>
      </c>
      <c r="I188" s="19"/>
      <c r="J188" s="22" t="str">
        <f t="shared" si="6"/>
        <v/>
      </c>
      <c r="K188" s="10" t="str">
        <f t="shared" ca="1" si="7"/>
        <v/>
      </c>
      <c r="L188" s="7" t="str">
        <f t="shared" ca="1" si="8"/>
        <v/>
      </c>
    </row>
    <row r="189" spans="8:12" x14ac:dyDescent="0.25">
      <c r="H189" s="10" t="str">
        <f>IF(G189="","",VLOOKUP(G189,MEGHBELA!$A$2:$C$100,3,FALSE))</f>
        <v/>
      </c>
      <c r="I189" s="18"/>
      <c r="J189" s="22" t="str">
        <f t="shared" si="6"/>
        <v/>
      </c>
      <c r="K189" s="10" t="str">
        <f t="shared" ca="1" si="7"/>
        <v/>
      </c>
      <c r="L189" s="7" t="str">
        <f t="shared" ca="1" si="8"/>
        <v/>
      </c>
    </row>
    <row r="190" spans="8:12" x14ac:dyDescent="0.25">
      <c r="H190" s="10" t="str">
        <f>IF(G190="","",VLOOKUP(G190,MEGHBELA!$A$2:$C$100,3,FALSE))</f>
        <v/>
      </c>
      <c r="I190" s="19"/>
      <c r="J190" s="22" t="str">
        <f t="shared" si="6"/>
        <v/>
      </c>
      <c r="K190" s="10" t="str">
        <f t="shared" ca="1" si="7"/>
        <v/>
      </c>
      <c r="L190" s="7" t="str">
        <f t="shared" ca="1" si="8"/>
        <v/>
      </c>
    </row>
    <row r="191" spans="8:12" x14ac:dyDescent="0.25">
      <c r="H191" s="10" t="str">
        <f>IF(G191="","",VLOOKUP(G191,MEGHBELA!$A$2:$C$100,3,FALSE))</f>
        <v/>
      </c>
      <c r="I191" s="18"/>
      <c r="J191" s="22" t="str">
        <f t="shared" si="6"/>
        <v/>
      </c>
      <c r="K191" s="10" t="str">
        <f t="shared" ca="1" si="7"/>
        <v/>
      </c>
      <c r="L191" s="7" t="str">
        <f t="shared" ca="1" si="8"/>
        <v/>
      </c>
    </row>
    <row r="192" spans="8:12" x14ac:dyDescent="0.25">
      <c r="H192" s="10" t="str">
        <f>IF(G192="","",VLOOKUP(G192,MEGHBELA!$A$2:$C$100,3,FALSE))</f>
        <v/>
      </c>
      <c r="I192" s="19"/>
      <c r="J192" s="22" t="str">
        <f t="shared" si="6"/>
        <v/>
      </c>
      <c r="K192" s="10" t="str">
        <f t="shared" ca="1" si="7"/>
        <v/>
      </c>
      <c r="L192" s="7" t="str">
        <f t="shared" ca="1" si="8"/>
        <v/>
      </c>
    </row>
    <row r="193" spans="8:12" x14ac:dyDescent="0.25">
      <c r="H193" s="10" t="str">
        <f>IF(G193="","",VLOOKUP(G193,MEGHBELA!$A$2:$C$100,3,FALSE))</f>
        <v/>
      </c>
      <c r="I193" s="18"/>
      <c r="J193" s="22" t="str">
        <f t="shared" si="6"/>
        <v/>
      </c>
      <c r="K193" s="10" t="str">
        <f t="shared" ca="1" si="7"/>
        <v/>
      </c>
      <c r="L193" s="7" t="str">
        <f t="shared" ca="1" si="8"/>
        <v/>
      </c>
    </row>
    <row r="194" spans="8:12" x14ac:dyDescent="0.25">
      <c r="H194" s="10" t="str">
        <f>IF(G194="","",VLOOKUP(G194,MEGHBELA!$A$2:$C$100,3,FALSE))</f>
        <v/>
      </c>
      <c r="I194" s="19"/>
      <c r="J194" s="22" t="str">
        <f t="shared" ref="J194:J257" si="9">IF(OR(I194="",H194=""),"",I194+H194)</f>
        <v/>
      </c>
      <c r="K194" s="10" t="str">
        <f t="shared" ref="K194:K257" ca="1" si="10">IF(J194="","",J194-TODAY())</f>
        <v/>
      </c>
      <c r="L194" s="7" t="str">
        <f t="shared" ref="L194:L257" ca="1" si="11">IF(K194="","",
IF(K194&lt;0,
HYPERLINK("https://web.whatsapp.com/send?phone=91"&amp;F194&amp;"&amp;text=Dear%20Customer,%20your%20internet%20plan%20expired%20on%20"&amp;TEXT(J194,"dd-mm-yyyy")&amp;".%20Your%20service%20is%20now%20stopped.%20Please%20renew%20immediately%20to%20restore%20service.%0A-----TRUESPEED%20BROADBAND","Send Stop Message"),
IF(K194&lt;=3,
HYPERLINK("https://web.whatsapp.com/send?phone=91"&amp;F194&amp;"&amp;text=Dear%20Customer,%20your%20internet%20plan%20will%20expire%20in%20"&amp;K194&amp;"%20days.%20Please%20renew%20before%20"&amp;TEXT(J194,"dd-mm-yyyy")&amp;".%0A-----TRUESPEED%20BROADBAND","Send Renewal Alert"),
"")))</f>
        <v/>
      </c>
    </row>
    <row r="195" spans="8:12" x14ac:dyDescent="0.25">
      <c r="H195" s="10" t="str">
        <f>IF(G195="","",VLOOKUP(G195,MEGHBELA!$A$2:$C$100,3,FALSE))</f>
        <v/>
      </c>
      <c r="I195" s="18"/>
      <c r="J195" s="22" t="str">
        <f t="shared" si="9"/>
        <v/>
      </c>
      <c r="K195" s="10" t="str">
        <f t="shared" ca="1" si="10"/>
        <v/>
      </c>
      <c r="L195" s="7" t="str">
        <f t="shared" ca="1" si="11"/>
        <v/>
      </c>
    </row>
    <row r="196" spans="8:12" x14ac:dyDescent="0.25">
      <c r="H196" s="10" t="str">
        <f>IF(G196="","",VLOOKUP(G196,MEGHBELA!$A$2:$C$100,3,FALSE))</f>
        <v/>
      </c>
      <c r="I196" s="19"/>
      <c r="J196" s="22" t="str">
        <f t="shared" si="9"/>
        <v/>
      </c>
      <c r="K196" s="10" t="str">
        <f t="shared" ca="1" si="10"/>
        <v/>
      </c>
      <c r="L196" s="7" t="str">
        <f t="shared" ca="1" si="11"/>
        <v/>
      </c>
    </row>
    <row r="197" spans="8:12" x14ac:dyDescent="0.25">
      <c r="H197" s="10" t="str">
        <f>IF(G197="","",VLOOKUP(G197,MEGHBELA!$A$2:$C$100,3,FALSE))</f>
        <v/>
      </c>
      <c r="I197" s="18"/>
      <c r="J197" s="22" t="str">
        <f t="shared" si="9"/>
        <v/>
      </c>
      <c r="K197" s="10" t="str">
        <f t="shared" ca="1" si="10"/>
        <v/>
      </c>
      <c r="L197" s="7" t="str">
        <f t="shared" ca="1" si="11"/>
        <v/>
      </c>
    </row>
    <row r="198" spans="8:12" x14ac:dyDescent="0.25">
      <c r="H198" s="10" t="str">
        <f>IF(G198="","",VLOOKUP(G198,MEGHBELA!$A$2:$C$100,3,FALSE))</f>
        <v/>
      </c>
      <c r="I198" s="19"/>
      <c r="J198" s="22" t="str">
        <f t="shared" si="9"/>
        <v/>
      </c>
      <c r="K198" s="10" t="str">
        <f t="shared" ca="1" si="10"/>
        <v/>
      </c>
      <c r="L198" s="7" t="str">
        <f t="shared" ca="1" si="11"/>
        <v/>
      </c>
    </row>
    <row r="199" spans="8:12" x14ac:dyDescent="0.25">
      <c r="H199" s="10" t="str">
        <f>IF(G199="","",VLOOKUP(G199,MEGHBELA!$A$2:$C$100,3,FALSE))</f>
        <v/>
      </c>
      <c r="I199" s="18"/>
      <c r="J199" s="22" t="str">
        <f t="shared" si="9"/>
        <v/>
      </c>
      <c r="K199" s="10" t="str">
        <f t="shared" ca="1" si="10"/>
        <v/>
      </c>
      <c r="L199" s="7" t="str">
        <f t="shared" ca="1" si="11"/>
        <v/>
      </c>
    </row>
    <row r="200" spans="8:12" x14ac:dyDescent="0.25">
      <c r="H200" s="10" t="str">
        <f>IF(G200="","",VLOOKUP(G200,MEGHBELA!$A$2:$C$100,3,FALSE))</f>
        <v/>
      </c>
      <c r="I200" s="19"/>
      <c r="J200" s="22" t="str">
        <f t="shared" si="9"/>
        <v/>
      </c>
      <c r="K200" s="10" t="str">
        <f t="shared" ca="1" si="10"/>
        <v/>
      </c>
      <c r="L200" s="7" t="str">
        <f t="shared" ca="1" si="11"/>
        <v/>
      </c>
    </row>
    <row r="201" spans="8:12" x14ac:dyDescent="0.25">
      <c r="H201" s="10" t="str">
        <f>IF(G201="","",VLOOKUP(G201,MEGHBELA!$A$2:$C$100,3,FALSE))</f>
        <v/>
      </c>
      <c r="I201" s="18"/>
      <c r="J201" s="22" t="str">
        <f t="shared" si="9"/>
        <v/>
      </c>
      <c r="K201" s="10" t="str">
        <f t="shared" ca="1" si="10"/>
        <v/>
      </c>
      <c r="L201" s="7" t="str">
        <f t="shared" ca="1" si="11"/>
        <v/>
      </c>
    </row>
    <row r="202" spans="8:12" x14ac:dyDescent="0.25">
      <c r="H202" s="10" t="str">
        <f>IF(G202="","",VLOOKUP(G202,MEGHBELA!$A$2:$C$100,3,FALSE))</f>
        <v/>
      </c>
      <c r="I202" s="19"/>
      <c r="J202" s="22" t="str">
        <f t="shared" si="9"/>
        <v/>
      </c>
      <c r="K202" s="10" t="str">
        <f t="shared" ca="1" si="10"/>
        <v/>
      </c>
      <c r="L202" s="7" t="str">
        <f t="shared" ca="1" si="11"/>
        <v/>
      </c>
    </row>
    <row r="203" spans="8:12" x14ac:dyDescent="0.25">
      <c r="H203" s="10" t="str">
        <f>IF(G203="","",VLOOKUP(G203,MEGHBELA!$A$2:$C$100,3,FALSE))</f>
        <v/>
      </c>
      <c r="I203" s="18"/>
      <c r="J203" s="22" t="str">
        <f t="shared" si="9"/>
        <v/>
      </c>
      <c r="K203" s="10" t="str">
        <f t="shared" ca="1" si="10"/>
        <v/>
      </c>
      <c r="L203" s="7" t="str">
        <f t="shared" ca="1" si="11"/>
        <v/>
      </c>
    </row>
    <row r="204" spans="8:12" x14ac:dyDescent="0.25">
      <c r="H204" s="10" t="str">
        <f>IF(G204="","",VLOOKUP(G204,MEGHBELA!$A$2:$C$100,3,FALSE))</f>
        <v/>
      </c>
      <c r="I204" s="19"/>
      <c r="J204" s="22" t="str">
        <f t="shared" si="9"/>
        <v/>
      </c>
      <c r="K204" s="10" t="str">
        <f t="shared" ca="1" si="10"/>
        <v/>
      </c>
      <c r="L204" s="7" t="str">
        <f t="shared" ca="1" si="11"/>
        <v/>
      </c>
    </row>
    <row r="205" spans="8:12" x14ac:dyDescent="0.25">
      <c r="H205" s="10" t="str">
        <f>IF(G205="","",VLOOKUP(G205,MEGHBELA!$A$2:$C$100,3,FALSE))</f>
        <v/>
      </c>
      <c r="I205" s="18"/>
      <c r="J205" s="22" t="str">
        <f t="shared" si="9"/>
        <v/>
      </c>
      <c r="K205" s="10" t="str">
        <f t="shared" ca="1" si="10"/>
        <v/>
      </c>
      <c r="L205" s="7" t="str">
        <f t="shared" ca="1" si="11"/>
        <v/>
      </c>
    </row>
    <row r="206" spans="8:12" x14ac:dyDescent="0.25">
      <c r="H206" s="10" t="str">
        <f>IF(G206="","",VLOOKUP(G206,MEGHBELA!$A$2:$C$100,3,FALSE))</f>
        <v/>
      </c>
      <c r="I206" s="19"/>
      <c r="J206" s="22" t="str">
        <f t="shared" si="9"/>
        <v/>
      </c>
      <c r="K206" s="10" t="str">
        <f t="shared" ca="1" si="10"/>
        <v/>
      </c>
      <c r="L206" s="7" t="str">
        <f t="shared" ca="1" si="11"/>
        <v/>
      </c>
    </row>
    <row r="207" spans="8:12" x14ac:dyDescent="0.25">
      <c r="H207" s="10" t="str">
        <f>IF(G207="","",VLOOKUP(G207,MEGHBELA!$A$2:$C$100,3,FALSE))</f>
        <v/>
      </c>
      <c r="I207" s="18"/>
      <c r="J207" s="22" t="str">
        <f t="shared" si="9"/>
        <v/>
      </c>
      <c r="K207" s="10" t="str">
        <f t="shared" ca="1" si="10"/>
        <v/>
      </c>
      <c r="L207" s="7" t="str">
        <f t="shared" ca="1" si="11"/>
        <v/>
      </c>
    </row>
    <row r="208" spans="8:12" x14ac:dyDescent="0.25">
      <c r="H208" s="10" t="str">
        <f>IF(G208="","",VLOOKUP(G208,MEGHBELA!$A$2:$C$100,3,FALSE))</f>
        <v/>
      </c>
      <c r="I208" s="19"/>
      <c r="J208" s="22" t="str">
        <f t="shared" si="9"/>
        <v/>
      </c>
      <c r="K208" s="10" t="str">
        <f t="shared" ca="1" si="10"/>
        <v/>
      </c>
      <c r="L208" s="7" t="str">
        <f t="shared" ca="1" si="11"/>
        <v/>
      </c>
    </row>
    <row r="209" spans="8:12" x14ac:dyDescent="0.25">
      <c r="H209" s="10" t="str">
        <f>IF(G209="","",VLOOKUP(G209,MEGHBELA!$A$2:$C$100,3,FALSE))</f>
        <v/>
      </c>
      <c r="I209" s="18"/>
      <c r="J209" s="22" t="str">
        <f t="shared" si="9"/>
        <v/>
      </c>
      <c r="K209" s="10" t="str">
        <f t="shared" ca="1" si="10"/>
        <v/>
      </c>
      <c r="L209" s="7" t="str">
        <f t="shared" ca="1" si="11"/>
        <v/>
      </c>
    </row>
    <row r="210" spans="8:12" x14ac:dyDescent="0.25">
      <c r="H210" s="10" t="str">
        <f>IF(G210="","",VLOOKUP(G210,MEGHBELA!$A$2:$C$100,3,FALSE))</f>
        <v/>
      </c>
      <c r="I210" s="19"/>
      <c r="J210" s="22" t="str">
        <f t="shared" si="9"/>
        <v/>
      </c>
      <c r="K210" s="10" t="str">
        <f t="shared" ca="1" si="10"/>
        <v/>
      </c>
      <c r="L210" s="7" t="str">
        <f t="shared" ca="1" si="11"/>
        <v/>
      </c>
    </row>
    <row r="211" spans="8:12" x14ac:dyDescent="0.25">
      <c r="H211" s="10" t="str">
        <f>IF(G211="","",VLOOKUP(G211,MEGHBELA!$A$2:$C$100,3,FALSE))</f>
        <v/>
      </c>
      <c r="I211" s="18"/>
      <c r="J211" s="22" t="str">
        <f t="shared" si="9"/>
        <v/>
      </c>
      <c r="K211" s="10" t="str">
        <f t="shared" ca="1" si="10"/>
        <v/>
      </c>
      <c r="L211" s="7" t="str">
        <f t="shared" ca="1" si="11"/>
        <v/>
      </c>
    </row>
    <row r="212" spans="8:12" x14ac:dyDescent="0.25">
      <c r="H212" s="10" t="str">
        <f>IF(G212="","",VLOOKUP(G212,MEGHBELA!$A$2:$C$100,3,FALSE))</f>
        <v/>
      </c>
      <c r="I212" s="19"/>
      <c r="J212" s="22" t="str">
        <f t="shared" si="9"/>
        <v/>
      </c>
      <c r="K212" s="10" t="str">
        <f t="shared" ca="1" si="10"/>
        <v/>
      </c>
      <c r="L212" s="7" t="str">
        <f t="shared" ca="1" si="11"/>
        <v/>
      </c>
    </row>
    <row r="213" spans="8:12" x14ac:dyDescent="0.25">
      <c r="H213" s="10" t="str">
        <f>IF(G213="","",VLOOKUP(G213,MEGHBELA!$A$2:$C$100,3,FALSE))</f>
        <v/>
      </c>
      <c r="I213" s="18"/>
      <c r="J213" s="22" t="str">
        <f t="shared" si="9"/>
        <v/>
      </c>
      <c r="K213" s="10" t="str">
        <f t="shared" ca="1" si="10"/>
        <v/>
      </c>
      <c r="L213" s="7" t="str">
        <f t="shared" ca="1" si="11"/>
        <v/>
      </c>
    </row>
    <row r="214" spans="8:12" x14ac:dyDescent="0.25">
      <c r="H214" s="10" t="str">
        <f>IF(G214="","",VLOOKUP(G214,MEGHBELA!$A$2:$C$100,3,FALSE))</f>
        <v/>
      </c>
      <c r="I214" s="19"/>
      <c r="J214" s="22" t="str">
        <f t="shared" si="9"/>
        <v/>
      </c>
      <c r="K214" s="10" t="str">
        <f t="shared" ca="1" si="10"/>
        <v/>
      </c>
      <c r="L214" s="7" t="str">
        <f t="shared" ca="1" si="11"/>
        <v/>
      </c>
    </row>
    <row r="215" spans="8:12" x14ac:dyDescent="0.25">
      <c r="H215" s="10" t="str">
        <f>IF(G215="","",VLOOKUP(G215,MEGHBELA!$A$2:$C$100,3,FALSE))</f>
        <v/>
      </c>
      <c r="I215" s="18"/>
      <c r="J215" s="22" t="str">
        <f t="shared" si="9"/>
        <v/>
      </c>
      <c r="K215" s="10" t="str">
        <f t="shared" ca="1" si="10"/>
        <v/>
      </c>
      <c r="L215" s="7" t="str">
        <f t="shared" ca="1" si="11"/>
        <v/>
      </c>
    </row>
    <row r="216" spans="8:12" x14ac:dyDescent="0.25">
      <c r="H216" s="10" t="str">
        <f>IF(G216="","",VLOOKUP(G216,MEGHBELA!$A$2:$C$100,3,FALSE))</f>
        <v/>
      </c>
      <c r="I216" s="19"/>
      <c r="J216" s="22" t="str">
        <f t="shared" si="9"/>
        <v/>
      </c>
      <c r="K216" s="10" t="str">
        <f t="shared" ca="1" si="10"/>
        <v/>
      </c>
      <c r="L216" s="7" t="str">
        <f t="shared" ca="1" si="11"/>
        <v/>
      </c>
    </row>
    <row r="217" spans="8:12" x14ac:dyDescent="0.25">
      <c r="H217" s="10" t="str">
        <f>IF(G217="","",VLOOKUP(G217,MEGHBELA!$A$2:$C$100,3,FALSE))</f>
        <v/>
      </c>
      <c r="I217" s="18"/>
      <c r="J217" s="22" t="str">
        <f t="shared" si="9"/>
        <v/>
      </c>
      <c r="K217" s="10" t="str">
        <f t="shared" ca="1" si="10"/>
        <v/>
      </c>
      <c r="L217" s="7" t="str">
        <f t="shared" ca="1" si="11"/>
        <v/>
      </c>
    </row>
    <row r="218" spans="8:12" x14ac:dyDescent="0.25">
      <c r="H218" s="10" t="str">
        <f>IF(G218="","",VLOOKUP(G218,MEGHBELA!$A$2:$C$100,3,FALSE))</f>
        <v/>
      </c>
      <c r="I218" s="19"/>
      <c r="J218" s="22" t="str">
        <f t="shared" si="9"/>
        <v/>
      </c>
      <c r="K218" s="10" t="str">
        <f t="shared" ca="1" si="10"/>
        <v/>
      </c>
      <c r="L218" s="7" t="str">
        <f t="shared" ca="1" si="11"/>
        <v/>
      </c>
    </row>
    <row r="219" spans="8:12" x14ac:dyDescent="0.25">
      <c r="H219" s="10" t="str">
        <f>IF(G219="","",VLOOKUP(G219,MEGHBELA!$A$2:$C$100,3,FALSE))</f>
        <v/>
      </c>
      <c r="I219" s="18"/>
      <c r="J219" s="22" t="str">
        <f t="shared" si="9"/>
        <v/>
      </c>
      <c r="K219" s="10" t="str">
        <f t="shared" ca="1" si="10"/>
        <v/>
      </c>
      <c r="L219" s="7" t="str">
        <f t="shared" ca="1" si="11"/>
        <v/>
      </c>
    </row>
    <row r="220" spans="8:12" x14ac:dyDescent="0.25">
      <c r="H220" s="10" t="str">
        <f>IF(G220="","",VLOOKUP(G220,MEGHBELA!$A$2:$C$100,3,FALSE))</f>
        <v/>
      </c>
      <c r="I220" s="19"/>
      <c r="J220" s="22" t="str">
        <f t="shared" si="9"/>
        <v/>
      </c>
      <c r="K220" s="10" t="str">
        <f t="shared" ca="1" si="10"/>
        <v/>
      </c>
      <c r="L220" s="7" t="str">
        <f t="shared" ca="1" si="11"/>
        <v/>
      </c>
    </row>
    <row r="221" spans="8:12" x14ac:dyDescent="0.25">
      <c r="H221" s="10" t="str">
        <f>IF(G221="","",VLOOKUP(G221,MEGHBELA!$A$2:$C$100,3,FALSE))</f>
        <v/>
      </c>
      <c r="I221" s="18"/>
      <c r="J221" s="22" t="str">
        <f t="shared" si="9"/>
        <v/>
      </c>
      <c r="K221" s="10" t="str">
        <f t="shared" ca="1" si="10"/>
        <v/>
      </c>
      <c r="L221" s="7" t="str">
        <f t="shared" ca="1" si="11"/>
        <v/>
      </c>
    </row>
    <row r="222" spans="8:12" x14ac:dyDescent="0.25">
      <c r="H222" s="10" t="str">
        <f>IF(G222="","",VLOOKUP(G222,MEGHBELA!$A$2:$C$100,3,FALSE))</f>
        <v/>
      </c>
      <c r="I222" s="19"/>
      <c r="J222" s="22" t="str">
        <f t="shared" si="9"/>
        <v/>
      </c>
      <c r="K222" s="10" t="str">
        <f t="shared" ca="1" si="10"/>
        <v/>
      </c>
      <c r="L222" s="7" t="str">
        <f t="shared" ca="1" si="11"/>
        <v/>
      </c>
    </row>
    <row r="223" spans="8:12" x14ac:dyDescent="0.25">
      <c r="H223" s="10" t="str">
        <f>IF(G223="","",VLOOKUP(G223,MEGHBELA!$A$2:$C$100,3,FALSE))</f>
        <v/>
      </c>
      <c r="I223" s="18"/>
      <c r="J223" s="22" t="str">
        <f t="shared" si="9"/>
        <v/>
      </c>
      <c r="K223" s="10" t="str">
        <f t="shared" ca="1" si="10"/>
        <v/>
      </c>
      <c r="L223" s="7" t="str">
        <f t="shared" ca="1" si="11"/>
        <v/>
      </c>
    </row>
    <row r="224" spans="8:12" x14ac:dyDescent="0.25">
      <c r="H224" s="10" t="str">
        <f>IF(G224="","",VLOOKUP(G224,MEGHBELA!$A$2:$C$100,3,FALSE))</f>
        <v/>
      </c>
      <c r="I224" s="19"/>
      <c r="J224" s="22" t="str">
        <f t="shared" si="9"/>
        <v/>
      </c>
      <c r="K224" s="10" t="str">
        <f t="shared" ca="1" si="10"/>
        <v/>
      </c>
      <c r="L224" s="7" t="str">
        <f t="shared" ca="1" si="11"/>
        <v/>
      </c>
    </row>
    <row r="225" spans="8:12" x14ac:dyDescent="0.25">
      <c r="H225" s="10" t="str">
        <f>IF(G225="","",VLOOKUP(G225,MEGHBELA!$A$2:$C$100,3,FALSE))</f>
        <v/>
      </c>
      <c r="I225" s="18"/>
      <c r="J225" s="22" t="str">
        <f t="shared" si="9"/>
        <v/>
      </c>
      <c r="K225" s="10" t="str">
        <f t="shared" ca="1" si="10"/>
        <v/>
      </c>
      <c r="L225" s="7" t="str">
        <f t="shared" ca="1" si="11"/>
        <v/>
      </c>
    </row>
    <row r="226" spans="8:12" x14ac:dyDescent="0.25">
      <c r="H226" s="10" t="str">
        <f>IF(G226="","",VLOOKUP(G226,MEGHBELA!$A$2:$C$100,3,FALSE))</f>
        <v/>
      </c>
      <c r="I226" s="19"/>
      <c r="J226" s="22" t="str">
        <f t="shared" si="9"/>
        <v/>
      </c>
      <c r="K226" s="10" t="str">
        <f t="shared" ca="1" si="10"/>
        <v/>
      </c>
      <c r="L226" s="7" t="str">
        <f t="shared" ca="1" si="11"/>
        <v/>
      </c>
    </row>
    <row r="227" spans="8:12" x14ac:dyDescent="0.25">
      <c r="H227" s="10" t="str">
        <f>IF(G227="","",VLOOKUP(G227,MEGHBELA!$A$2:$C$100,3,FALSE))</f>
        <v/>
      </c>
      <c r="I227" s="18"/>
      <c r="J227" s="22" t="str">
        <f t="shared" si="9"/>
        <v/>
      </c>
      <c r="K227" s="10" t="str">
        <f t="shared" ca="1" si="10"/>
        <v/>
      </c>
      <c r="L227" s="7" t="str">
        <f t="shared" ca="1" si="11"/>
        <v/>
      </c>
    </row>
    <row r="228" spans="8:12" x14ac:dyDescent="0.25">
      <c r="H228" s="10" t="str">
        <f>IF(G228="","",VLOOKUP(G228,MEGHBELA!$A$2:$C$100,3,FALSE))</f>
        <v/>
      </c>
      <c r="I228" s="19"/>
      <c r="J228" s="22" t="str">
        <f t="shared" si="9"/>
        <v/>
      </c>
      <c r="K228" s="10" t="str">
        <f t="shared" ca="1" si="10"/>
        <v/>
      </c>
      <c r="L228" s="7" t="str">
        <f t="shared" ca="1" si="11"/>
        <v/>
      </c>
    </row>
    <row r="229" spans="8:12" x14ac:dyDescent="0.25">
      <c r="H229" s="10" t="str">
        <f>IF(G229="","",VLOOKUP(G229,MEGHBELA!$A$2:$C$100,3,FALSE))</f>
        <v/>
      </c>
      <c r="I229" s="18"/>
      <c r="J229" s="22" t="str">
        <f t="shared" si="9"/>
        <v/>
      </c>
      <c r="K229" s="10" t="str">
        <f t="shared" ca="1" si="10"/>
        <v/>
      </c>
      <c r="L229" s="7" t="str">
        <f t="shared" ca="1" si="11"/>
        <v/>
      </c>
    </row>
    <row r="230" spans="8:12" x14ac:dyDescent="0.25">
      <c r="H230" s="10" t="str">
        <f>IF(G230="","",VLOOKUP(G230,MEGHBELA!$A$2:$C$100,3,FALSE))</f>
        <v/>
      </c>
      <c r="I230" s="19"/>
      <c r="J230" s="22" t="str">
        <f t="shared" si="9"/>
        <v/>
      </c>
      <c r="K230" s="10" t="str">
        <f t="shared" ca="1" si="10"/>
        <v/>
      </c>
      <c r="L230" s="7" t="str">
        <f t="shared" ca="1" si="11"/>
        <v/>
      </c>
    </row>
    <row r="231" spans="8:12" x14ac:dyDescent="0.25">
      <c r="H231" s="10" t="str">
        <f>IF(G231="","",VLOOKUP(G231,MEGHBELA!$A$2:$C$100,3,FALSE))</f>
        <v/>
      </c>
      <c r="I231" s="18"/>
      <c r="J231" s="22" t="str">
        <f t="shared" si="9"/>
        <v/>
      </c>
      <c r="K231" s="10" t="str">
        <f t="shared" ca="1" si="10"/>
        <v/>
      </c>
      <c r="L231" s="7" t="str">
        <f t="shared" ca="1" si="11"/>
        <v/>
      </c>
    </row>
    <row r="232" spans="8:12" x14ac:dyDescent="0.25">
      <c r="H232" s="10" t="str">
        <f>IF(G232="","",VLOOKUP(G232,MEGHBELA!$A$2:$C$100,3,FALSE))</f>
        <v/>
      </c>
      <c r="I232" s="19"/>
      <c r="J232" s="22" t="str">
        <f t="shared" si="9"/>
        <v/>
      </c>
      <c r="K232" s="10" t="str">
        <f t="shared" ca="1" si="10"/>
        <v/>
      </c>
      <c r="L232" s="7" t="str">
        <f t="shared" ca="1" si="11"/>
        <v/>
      </c>
    </row>
    <row r="233" spans="8:12" x14ac:dyDescent="0.25">
      <c r="H233" s="10" t="str">
        <f>IF(G233="","",VLOOKUP(G233,MEGHBELA!$A$2:$C$100,3,FALSE))</f>
        <v/>
      </c>
      <c r="I233" s="18"/>
      <c r="J233" s="22" t="str">
        <f t="shared" si="9"/>
        <v/>
      </c>
      <c r="K233" s="10" t="str">
        <f t="shared" ca="1" si="10"/>
        <v/>
      </c>
      <c r="L233" s="7" t="str">
        <f t="shared" ca="1" si="11"/>
        <v/>
      </c>
    </row>
    <row r="234" spans="8:12" x14ac:dyDescent="0.25">
      <c r="H234" s="10" t="str">
        <f>IF(G234="","",VLOOKUP(G234,MEGHBELA!$A$2:$C$100,3,FALSE))</f>
        <v/>
      </c>
      <c r="I234" s="19"/>
      <c r="J234" s="22" t="str">
        <f t="shared" si="9"/>
        <v/>
      </c>
      <c r="K234" s="10" t="str">
        <f t="shared" ca="1" si="10"/>
        <v/>
      </c>
      <c r="L234" s="7" t="str">
        <f t="shared" ca="1" si="11"/>
        <v/>
      </c>
    </row>
    <row r="235" spans="8:12" x14ac:dyDescent="0.25">
      <c r="H235" s="10" t="str">
        <f>IF(G235="","",VLOOKUP(G235,MEGHBELA!$A$2:$C$100,3,FALSE))</f>
        <v/>
      </c>
      <c r="I235" s="18"/>
      <c r="J235" s="22" t="str">
        <f t="shared" si="9"/>
        <v/>
      </c>
      <c r="K235" s="10" t="str">
        <f t="shared" ca="1" si="10"/>
        <v/>
      </c>
      <c r="L235" s="7" t="str">
        <f t="shared" ca="1" si="11"/>
        <v/>
      </c>
    </row>
    <row r="236" spans="8:12" x14ac:dyDescent="0.25">
      <c r="H236" s="10" t="str">
        <f>IF(G236="","",VLOOKUP(G236,MEGHBELA!$A$2:$C$100,3,FALSE))</f>
        <v/>
      </c>
      <c r="I236" s="19"/>
      <c r="J236" s="22" t="str">
        <f t="shared" si="9"/>
        <v/>
      </c>
      <c r="K236" s="10" t="str">
        <f t="shared" ca="1" si="10"/>
        <v/>
      </c>
      <c r="L236" s="7" t="str">
        <f t="shared" ca="1" si="11"/>
        <v/>
      </c>
    </row>
    <row r="237" spans="8:12" x14ac:dyDescent="0.25">
      <c r="H237" s="10" t="str">
        <f>IF(G237="","",VLOOKUP(G237,MEGHBELA!$A$2:$C$100,3,FALSE))</f>
        <v/>
      </c>
      <c r="I237" s="18"/>
      <c r="J237" s="22" t="str">
        <f t="shared" si="9"/>
        <v/>
      </c>
      <c r="K237" s="10" t="str">
        <f t="shared" ca="1" si="10"/>
        <v/>
      </c>
      <c r="L237" s="7" t="str">
        <f t="shared" ca="1" si="11"/>
        <v/>
      </c>
    </row>
    <row r="238" spans="8:12" x14ac:dyDescent="0.25">
      <c r="H238" s="10" t="str">
        <f>IF(G238="","",VLOOKUP(G238,MEGHBELA!$A$2:$C$100,3,FALSE))</f>
        <v/>
      </c>
      <c r="I238" s="19"/>
      <c r="J238" s="22" t="str">
        <f t="shared" si="9"/>
        <v/>
      </c>
      <c r="K238" s="10" t="str">
        <f t="shared" ca="1" si="10"/>
        <v/>
      </c>
      <c r="L238" s="7" t="str">
        <f t="shared" ca="1" si="11"/>
        <v/>
      </c>
    </row>
    <row r="239" spans="8:12" x14ac:dyDescent="0.25">
      <c r="H239" s="10" t="str">
        <f>IF(G239="","",VLOOKUP(G239,MEGHBELA!$A$2:$C$100,3,FALSE))</f>
        <v/>
      </c>
      <c r="I239" s="18"/>
      <c r="J239" s="22" t="str">
        <f t="shared" si="9"/>
        <v/>
      </c>
      <c r="K239" s="10" t="str">
        <f t="shared" ca="1" si="10"/>
        <v/>
      </c>
      <c r="L239" s="7" t="str">
        <f t="shared" ca="1" si="11"/>
        <v/>
      </c>
    </row>
    <row r="240" spans="8:12" x14ac:dyDescent="0.25">
      <c r="H240" s="10" t="str">
        <f>IF(G240="","",VLOOKUP(G240,MEGHBELA!$A$2:$C$100,3,FALSE))</f>
        <v/>
      </c>
      <c r="I240" s="19"/>
      <c r="J240" s="22" t="str">
        <f t="shared" si="9"/>
        <v/>
      </c>
      <c r="K240" s="10" t="str">
        <f t="shared" ca="1" si="10"/>
        <v/>
      </c>
      <c r="L240" s="7" t="str">
        <f t="shared" ca="1" si="11"/>
        <v/>
      </c>
    </row>
    <row r="241" spans="8:12" x14ac:dyDescent="0.25">
      <c r="H241" s="10" t="str">
        <f>IF(G241="","",VLOOKUP(G241,MEGHBELA!$A$2:$C$100,3,FALSE))</f>
        <v/>
      </c>
      <c r="I241" s="18"/>
      <c r="J241" s="22" t="str">
        <f t="shared" si="9"/>
        <v/>
      </c>
      <c r="K241" s="10" t="str">
        <f t="shared" ca="1" si="10"/>
        <v/>
      </c>
      <c r="L241" s="7" t="str">
        <f t="shared" ca="1" si="11"/>
        <v/>
      </c>
    </row>
    <row r="242" spans="8:12" x14ac:dyDescent="0.25">
      <c r="H242" s="10" t="str">
        <f>IF(G242="","",VLOOKUP(G242,MEGHBELA!$A$2:$C$100,3,FALSE))</f>
        <v/>
      </c>
      <c r="I242" s="19"/>
      <c r="J242" s="22" t="str">
        <f t="shared" si="9"/>
        <v/>
      </c>
      <c r="K242" s="10" t="str">
        <f t="shared" ca="1" si="10"/>
        <v/>
      </c>
      <c r="L242" s="7" t="str">
        <f t="shared" ca="1" si="11"/>
        <v/>
      </c>
    </row>
    <row r="243" spans="8:12" x14ac:dyDescent="0.25">
      <c r="H243" s="10" t="str">
        <f>IF(G243="","",VLOOKUP(G243,MEGHBELA!$A$2:$C$100,3,FALSE))</f>
        <v/>
      </c>
      <c r="I243" s="18"/>
      <c r="J243" s="22" t="str">
        <f t="shared" si="9"/>
        <v/>
      </c>
      <c r="K243" s="10" t="str">
        <f t="shared" ca="1" si="10"/>
        <v/>
      </c>
      <c r="L243" s="7" t="str">
        <f t="shared" ca="1" si="11"/>
        <v/>
      </c>
    </row>
    <row r="244" spans="8:12" x14ac:dyDescent="0.25">
      <c r="H244" s="10" t="str">
        <f>IF(G244="","",VLOOKUP(G244,MEGHBELA!$A$2:$C$100,3,FALSE))</f>
        <v/>
      </c>
      <c r="I244" s="19"/>
      <c r="J244" s="22" t="str">
        <f t="shared" si="9"/>
        <v/>
      </c>
      <c r="K244" s="10" t="str">
        <f t="shared" ca="1" si="10"/>
        <v/>
      </c>
      <c r="L244" s="7" t="str">
        <f t="shared" ca="1" si="11"/>
        <v/>
      </c>
    </row>
    <row r="245" spans="8:12" x14ac:dyDescent="0.25">
      <c r="H245" s="10" t="str">
        <f>IF(G245="","",VLOOKUP(G245,MEGHBELA!$A$2:$C$100,3,FALSE))</f>
        <v/>
      </c>
      <c r="I245" s="18"/>
      <c r="J245" s="22" t="str">
        <f t="shared" si="9"/>
        <v/>
      </c>
      <c r="K245" s="10" t="str">
        <f t="shared" ca="1" si="10"/>
        <v/>
      </c>
      <c r="L245" s="7" t="str">
        <f t="shared" ca="1" si="11"/>
        <v/>
      </c>
    </row>
    <row r="246" spans="8:12" x14ac:dyDescent="0.25">
      <c r="H246" s="10" t="str">
        <f>IF(G246="","",VLOOKUP(G246,MEGHBELA!$A$2:$C$100,3,FALSE))</f>
        <v/>
      </c>
      <c r="I246" s="19"/>
      <c r="J246" s="22" t="str">
        <f t="shared" si="9"/>
        <v/>
      </c>
      <c r="K246" s="10" t="str">
        <f t="shared" ca="1" si="10"/>
        <v/>
      </c>
      <c r="L246" s="7" t="str">
        <f t="shared" ca="1" si="11"/>
        <v/>
      </c>
    </row>
    <row r="247" spans="8:12" x14ac:dyDescent="0.25">
      <c r="H247" s="10" t="str">
        <f>IF(G247="","",VLOOKUP(G247,MEGHBELA!$A$2:$C$100,3,FALSE))</f>
        <v/>
      </c>
      <c r="I247" s="18"/>
      <c r="J247" s="22" t="str">
        <f t="shared" si="9"/>
        <v/>
      </c>
      <c r="K247" s="10" t="str">
        <f t="shared" ca="1" si="10"/>
        <v/>
      </c>
      <c r="L247" s="7" t="str">
        <f t="shared" ca="1" si="11"/>
        <v/>
      </c>
    </row>
    <row r="248" spans="8:12" x14ac:dyDescent="0.25">
      <c r="H248" s="10" t="str">
        <f>IF(G248="","",VLOOKUP(G248,MEGHBELA!$A$2:$C$100,3,FALSE))</f>
        <v/>
      </c>
      <c r="I248" s="19"/>
      <c r="J248" s="22" t="str">
        <f t="shared" si="9"/>
        <v/>
      </c>
      <c r="K248" s="10" t="str">
        <f t="shared" ca="1" si="10"/>
        <v/>
      </c>
      <c r="L248" s="7" t="str">
        <f t="shared" ca="1" si="11"/>
        <v/>
      </c>
    </row>
    <row r="249" spans="8:12" x14ac:dyDescent="0.25">
      <c r="H249" s="10" t="str">
        <f>IF(G249="","",VLOOKUP(G249,MEGHBELA!$A$2:$C$100,3,FALSE))</f>
        <v/>
      </c>
      <c r="I249" s="18"/>
      <c r="J249" s="22" t="str">
        <f t="shared" si="9"/>
        <v/>
      </c>
      <c r="K249" s="10" t="str">
        <f t="shared" ca="1" si="10"/>
        <v/>
      </c>
      <c r="L249" s="7" t="str">
        <f t="shared" ca="1" si="11"/>
        <v/>
      </c>
    </row>
    <row r="250" spans="8:12" x14ac:dyDescent="0.25">
      <c r="H250" s="10" t="str">
        <f>IF(G250="","",VLOOKUP(G250,MEGHBELA!$A$2:$C$100,3,FALSE))</f>
        <v/>
      </c>
      <c r="I250" s="19"/>
      <c r="J250" s="22" t="str">
        <f t="shared" si="9"/>
        <v/>
      </c>
      <c r="K250" s="10" t="str">
        <f t="shared" ca="1" si="10"/>
        <v/>
      </c>
      <c r="L250" s="7" t="str">
        <f t="shared" ca="1" si="11"/>
        <v/>
      </c>
    </row>
    <row r="251" spans="8:12" x14ac:dyDescent="0.25">
      <c r="H251" s="10" t="str">
        <f>IF(G251="","",VLOOKUP(G251,MEGHBELA!$A$2:$C$100,3,FALSE))</f>
        <v/>
      </c>
      <c r="I251" s="18"/>
      <c r="J251" s="22" t="str">
        <f t="shared" si="9"/>
        <v/>
      </c>
      <c r="K251" s="10" t="str">
        <f t="shared" ca="1" si="10"/>
        <v/>
      </c>
      <c r="L251" s="7" t="str">
        <f t="shared" ca="1" si="11"/>
        <v/>
      </c>
    </row>
    <row r="252" spans="8:12" x14ac:dyDescent="0.25">
      <c r="H252" s="10" t="str">
        <f>IF(G252="","",VLOOKUP(G252,MEGHBELA!$A$2:$C$100,3,FALSE))</f>
        <v/>
      </c>
      <c r="I252" s="19"/>
      <c r="J252" s="22" t="str">
        <f t="shared" si="9"/>
        <v/>
      </c>
      <c r="K252" s="10" t="str">
        <f t="shared" ca="1" si="10"/>
        <v/>
      </c>
      <c r="L252" s="7" t="str">
        <f t="shared" ca="1" si="11"/>
        <v/>
      </c>
    </row>
    <row r="253" spans="8:12" x14ac:dyDescent="0.25">
      <c r="H253" s="10" t="str">
        <f>IF(G253="","",VLOOKUP(G253,MEGHBELA!$A$2:$C$100,3,FALSE))</f>
        <v/>
      </c>
      <c r="I253" s="18"/>
      <c r="J253" s="22" t="str">
        <f t="shared" si="9"/>
        <v/>
      </c>
      <c r="K253" s="10" t="str">
        <f t="shared" ca="1" si="10"/>
        <v/>
      </c>
      <c r="L253" s="7" t="str">
        <f t="shared" ca="1" si="11"/>
        <v/>
      </c>
    </row>
    <row r="254" spans="8:12" x14ac:dyDescent="0.25">
      <c r="H254" s="10" t="str">
        <f>IF(G254="","",VLOOKUP(G254,MEGHBELA!$A$2:$C$100,3,FALSE))</f>
        <v/>
      </c>
      <c r="I254" s="19"/>
      <c r="J254" s="22" t="str">
        <f t="shared" si="9"/>
        <v/>
      </c>
      <c r="K254" s="10" t="str">
        <f t="shared" ca="1" si="10"/>
        <v/>
      </c>
      <c r="L254" s="7" t="str">
        <f t="shared" ca="1" si="11"/>
        <v/>
      </c>
    </row>
    <row r="255" spans="8:12" x14ac:dyDescent="0.25">
      <c r="H255" s="10" t="str">
        <f>IF(G255="","",VLOOKUP(G255,MEGHBELA!$A$2:$C$100,3,FALSE))</f>
        <v/>
      </c>
      <c r="I255" s="18"/>
      <c r="J255" s="22" t="str">
        <f t="shared" si="9"/>
        <v/>
      </c>
      <c r="K255" s="10" t="str">
        <f t="shared" ca="1" si="10"/>
        <v/>
      </c>
      <c r="L255" s="7" t="str">
        <f t="shared" ca="1" si="11"/>
        <v/>
      </c>
    </row>
    <row r="256" spans="8:12" x14ac:dyDescent="0.25">
      <c r="H256" s="10" t="str">
        <f>IF(G256="","",VLOOKUP(G256,MEGHBELA!$A$2:$C$100,3,FALSE))</f>
        <v/>
      </c>
      <c r="I256" s="19"/>
      <c r="J256" s="22" t="str">
        <f t="shared" si="9"/>
        <v/>
      </c>
      <c r="K256" s="10" t="str">
        <f t="shared" ca="1" si="10"/>
        <v/>
      </c>
      <c r="L256" s="7" t="str">
        <f t="shared" ca="1" si="11"/>
        <v/>
      </c>
    </row>
    <row r="257" spans="8:12" x14ac:dyDescent="0.25">
      <c r="H257" s="10" t="str">
        <f>IF(G257="","",VLOOKUP(G257,MEGHBELA!$A$2:$C$100,3,FALSE))</f>
        <v/>
      </c>
      <c r="I257" s="18"/>
      <c r="J257" s="22" t="str">
        <f t="shared" si="9"/>
        <v/>
      </c>
      <c r="K257" s="10" t="str">
        <f t="shared" ca="1" si="10"/>
        <v/>
      </c>
      <c r="L257" s="7" t="str">
        <f t="shared" ca="1" si="11"/>
        <v/>
      </c>
    </row>
    <row r="258" spans="8:12" x14ac:dyDescent="0.25">
      <c r="H258" s="10" t="str">
        <f>IF(G258="","",VLOOKUP(G258,MEGHBELA!$A$2:$C$100,3,FALSE))</f>
        <v/>
      </c>
      <c r="I258" s="19"/>
      <c r="J258" s="22" t="str">
        <f t="shared" ref="J258:J321" si="12">IF(OR(I258="",H258=""),"",I258+H258)</f>
        <v/>
      </c>
      <c r="K258" s="10" t="str">
        <f t="shared" ref="K258:K321" ca="1" si="13">IF(J258="","",J258-TODAY())</f>
        <v/>
      </c>
      <c r="L258" s="7" t="str">
        <f t="shared" ref="L258:L321" ca="1" si="14">IF(K258="","",
IF(K258&lt;0,
HYPERLINK("https://web.whatsapp.com/send?phone=91"&amp;F258&amp;"&amp;text=Dear%20Customer,%20your%20internet%20plan%20expired%20on%20"&amp;TEXT(J258,"dd-mm-yyyy")&amp;".%20Your%20service%20is%20now%20stopped.%20Please%20renew%20immediately%20to%20restore%20service.%0A-----TRUESPEED%20BROADBAND","Send Stop Message"),
IF(K258&lt;=3,
HYPERLINK("https://web.whatsapp.com/send?phone=91"&amp;F258&amp;"&amp;text=Dear%20Customer,%20your%20internet%20plan%20will%20expire%20in%20"&amp;K258&amp;"%20days.%20Please%20renew%20before%20"&amp;TEXT(J258,"dd-mm-yyyy")&amp;".%0A-----TRUESPEED%20BROADBAND","Send Renewal Alert"),
"")))</f>
        <v/>
      </c>
    </row>
    <row r="259" spans="8:12" x14ac:dyDescent="0.25">
      <c r="H259" s="10" t="str">
        <f>IF(G259="","",VLOOKUP(G259,MEGHBELA!$A$2:$C$100,3,FALSE))</f>
        <v/>
      </c>
      <c r="I259" s="18"/>
      <c r="J259" s="22" t="str">
        <f t="shared" si="12"/>
        <v/>
      </c>
      <c r="K259" s="10" t="str">
        <f t="shared" ca="1" si="13"/>
        <v/>
      </c>
      <c r="L259" s="7" t="str">
        <f t="shared" ca="1" si="14"/>
        <v/>
      </c>
    </row>
    <row r="260" spans="8:12" x14ac:dyDescent="0.25">
      <c r="H260" s="10" t="str">
        <f>IF(G260="","",VLOOKUP(G260,MEGHBELA!$A$2:$C$100,3,FALSE))</f>
        <v/>
      </c>
      <c r="I260" s="19"/>
      <c r="J260" s="22" t="str">
        <f t="shared" si="12"/>
        <v/>
      </c>
      <c r="K260" s="10" t="str">
        <f t="shared" ca="1" si="13"/>
        <v/>
      </c>
      <c r="L260" s="7" t="str">
        <f t="shared" ca="1" si="14"/>
        <v/>
      </c>
    </row>
    <row r="261" spans="8:12" x14ac:dyDescent="0.25">
      <c r="H261" s="10" t="str">
        <f>IF(G261="","",VLOOKUP(G261,MEGHBELA!$A$2:$C$100,3,FALSE))</f>
        <v/>
      </c>
      <c r="I261" s="18"/>
      <c r="J261" s="22" t="str">
        <f t="shared" si="12"/>
        <v/>
      </c>
      <c r="K261" s="10" t="str">
        <f t="shared" ca="1" si="13"/>
        <v/>
      </c>
      <c r="L261" s="7" t="str">
        <f t="shared" ca="1" si="14"/>
        <v/>
      </c>
    </row>
    <row r="262" spans="8:12" x14ac:dyDescent="0.25">
      <c r="H262" s="10" t="str">
        <f>IF(G262="","",VLOOKUP(G262,MEGHBELA!$A$2:$C$100,3,FALSE))</f>
        <v/>
      </c>
      <c r="I262" s="19"/>
      <c r="J262" s="22" t="str">
        <f t="shared" si="12"/>
        <v/>
      </c>
      <c r="K262" s="10" t="str">
        <f t="shared" ca="1" si="13"/>
        <v/>
      </c>
      <c r="L262" s="7" t="str">
        <f t="shared" ca="1" si="14"/>
        <v/>
      </c>
    </row>
    <row r="263" spans="8:12" x14ac:dyDescent="0.25">
      <c r="H263" s="10" t="str">
        <f>IF(G263="","",VLOOKUP(G263,MEGHBELA!$A$2:$C$100,3,FALSE))</f>
        <v/>
      </c>
      <c r="I263" s="18"/>
      <c r="J263" s="22" t="str">
        <f t="shared" si="12"/>
        <v/>
      </c>
      <c r="K263" s="10" t="str">
        <f t="shared" ca="1" si="13"/>
        <v/>
      </c>
      <c r="L263" s="7" t="str">
        <f t="shared" ca="1" si="14"/>
        <v/>
      </c>
    </row>
    <row r="264" spans="8:12" x14ac:dyDescent="0.25">
      <c r="H264" s="10" t="str">
        <f>IF(G264="","",VLOOKUP(G264,MEGHBELA!$A$2:$C$100,3,FALSE))</f>
        <v/>
      </c>
      <c r="I264" s="19"/>
      <c r="J264" s="22" t="str">
        <f t="shared" si="12"/>
        <v/>
      </c>
      <c r="K264" s="10" t="str">
        <f t="shared" ca="1" si="13"/>
        <v/>
      </c>
      <c r="L264" s="7" t="str">
        <f t="shared" ca="1" si="14"/>
        <v/>
      </c>
    </row>
    <row r="265" spans="8:12" x14ac:dyDescent="0.25">
      <c r="H265" s="10" t="str">
        <f>IF(G265="","",VLOOKUP(G265,MEGHBELA!$A$2:$C$100,3,FALSE))</f>
        <v/>
      </c>
      <c r="I265" s="18"/>
      <c r="J265" s="22" t="str">
        <f t="shared" si="12"/>
        <v/>
      </c>
      <c r="K265" s="10" t="str">
        <f t="shared" ca="1" si="13"/>
        <v/>
      </c>
      <c r="L265" s="7" t="str">
        <f t="shared" ca="1" si="14"/>
        <v/>
      </c>
    </row>
    <row r="266" spans="8:12" x14ac:dyDescent="0.25">
      <c r="H266" s="10" t="str">
        <f>IF(G266="","",VLOOKUP(G266,MEGHBELA!$A$2:$C$100,3,FALSE))</f>
        <v/>
      </c>
      <c r="I266" s="19"/>
      <c r="J266" s="22" t="str">
        <f t="shared" si="12"/>
        <v/>
      </c>
      <c r="K266" s="10" t="str">
        <f t="shared" ca="1" si="13"/>
        <v/>
      </c>
      <c r="L266" s="7" t="str">
        <f t="shared" ca="1" si="14"/>
        <v/>
      </c>
    </row>
    <row r="267" spans="8:12" x14ac:dyDescent="0.25">
      <c r="H267" s="10" t="str">
        <f>IF(G267="","",VLOOKUP(G267,MEGHBELA!$A$2:$C$100,3,FALSE))</f>
        <v/>
      </c>
      <c r="I267" s="18"/>
      <c r="J267" s="22" t="str">
        <f t="shared" si="12"/>
        <v/>
      </c>
      <c r="K267" s="10" t="str">
        <f t="shared" ca="1" si="13"/>
        <v/>
      </c>
      <c r="L267" s="7" t="str">
        <f t="shared" ca="1" si="14"/>
        <v/>
      </c>
    </row>
    <row r="268" spans="8:12" x14ac:dyDescent="0.25">
      <c r="H268" s="10" t="str">
        <f>IF(G268="","",VLOOKUP(G268,MEGHBELA!$A$2:$C$100,3,FALSE))</f>
        <v/>
      </c>
      <c r="I268" s="19"/>
      <c r="J268" s="22" t="str">
        <f t="shared" si="12"/>
        <v/>
      </c>
      <c r="K268" s="10" t="str">
        <f t="shared" ca="1" si="13"/>
        <v/>
      </c>
      <c r="L268" s="7" t="str">
        <f t="shared" ca="1" si="14"/>
        <v/>
      </c>
    </row>
    <row r="269" spans="8:12" x14ac:dyDescent="0.25">
      <c r="H269" s="10" t="str">
        <f>IF(G269="","",VLOOKUP(G269,MEGHBELA!$A$2:$C$100,3,FALSE))</f>
        <v/>
      </c>
      <c r="I269" s="18"/>
      <c r="J269" s="22" t="str">
        <f t="shared" si="12"/>
        <v/>
      </c>
      <c r="K269" s="10" t="str">
        <f t="shared" ca="1" si="13"/>
        <v/>
      </c>
      <c r="L269" s="7" t="str">
        <f t="shared" ca="1" si="14"/>
        <v/>
      </c>
    </row>
    <row r="270" spans="8:12" x14ac:dyDescent="0.25">
      <c r="H270" s="10" t="str">
        <f>IF(G270="","",VLOOKUP(G270,MEGHBELA!$A$2:$C$100,3,FALSE))</f>
        <v/>
      </c>
      <c r="I270" s="19"/>
      <c r="J270" s="22" t="str">
        <f t="shared" si="12"/>
        <v/>
      </c>
      <c r="K270" s="10" t="str">
        <f t="shared" ca="1" si="13"/>
        <v/>
      </c>
      <c r="L270" s="7" t="str">
        <f t="shared" ca="1" si="14"/>
        <v/>
      </c>
    </row>
    <row r="271" spans="8:12" x14ac:dyDescent="0.25">
      <c r="H271" s="10" t="str">
        <f>IF(G271="","",VLOOKUP(G271,MEGHBELA!$A$2:$C$100,3,FALSE))</f>
        <v/>
      </c>
      <c r="I271" s="18"/>
      <c r="J271" s="22" t="str">
        <f t="shared" si="12"/>
        <v/>
      </c>
      <c r="K271" s="10" t="str">
        <f t="shared" ca="1" si="13"/>
        <v/>
      </c>
      <c r="L271" s="7" t="str">
        <f t="shared" ca="1" si="14"/>
        <v/>
      </c>
    </row>
    <row r="272" spans="8:12" x14ac:dyDescent="0.25">
      <c r="H272" s="10" t="str">
        <f>IF(G272="","",VLOOKUP(G272,MEGHBELA!$A$2:$C$100,3,FALSE))</f>
        <v/>
      </c>
      <c r="I272" s="19"/>
      <c r="J272" s="22" t="str">
        <f t="shared" si="12"/>
        <v/>
      </c>
      <c r="K272" s="10" t="str">
        <f t="shared" ca="1" si="13"/>
        <v/>
      </c>
      <c r="L272" s="7" t="str">
        <f t="shared" ca="1" si="14"/>
        <v/>
      </c>
    </row>
    <row r="273" spans="8:12" x14ac:dyDescent="0.25">
      <c r="H273" s="10" t="str">
        <f>IF(G273="","",VLOOKUP(G273,MEGHBELA!$A$2:$C$100,3,FALSE))</f>
        <v/>
      </c>
      <c r="I273" s="18"/>
      <c r="J273" s="22" t="str">
        <f t="shared" si="12"/>
        <v/>
      </c>
      <c r="K273" s="10" t="str">
        <f t="shared" ca="1" si="13"/>
        <v/>
      </c>
      <c r="L273" s="7" t="str">
        <f t="shared" ca="1" si="14"/>
        <v/>
      </c>
    </row>
    <row r="274" spans="8:12" x14ac:dyDescent="0.25">
      <c r="H274" s="10" t="str">
        <f>IF(G274="","",VLOOKUP(G274,MEGHBELA!$A$2:$C$100,3,FALSE))</f>
        <v/>
      </c>
      <c r="I274" s="19"/>
      <c r="J274" s="22" t="str">
        <f t="shared" si="12"/>
        <v/>
      </c>
      <c r="K274" s="10" t="str">
        <f t="shared" ca="1" si="13"/>
        <v/>
      </c>
      <c r="L274" s="7" t="str">
        <f t="shared" ca="1" si="14"/>
        <v/>
      </c>
    </row>
    <row r="275" spans="8:12" x14ac:dyDescent="0.25">
      <c r="H275" s="10" t="str">
        <f>IF(G275="","",VLOOKUP(G275,MEGHBELA!$A$2:$C$100,3,FALSE))</f>
        <v/>
      </c>
      <c r="I275" s="18"/>
      <c r="J275" s="22" t="str">
        <f t="shared" si="12"/>
        <v/>
      </c>
      <c r="K275" s="10" t="str">
        <f t="shared" ca="1" si="13"/>
        <v/>
      </c>
      <c r="L275" s="7" t="str">
        <f t="shared" ca="1" si="14"/>
        <v/>
      </c>
    </row>
    <row r="276" spans="8:12" x14ac:dyDescent="0.25">
      <c r="H276" s="10" t="str">
        <f>IF(G276="","",VLOOKUP(G276,MEGHBELA!$A$2:$C$100,3,FALSE))</f>
        <v/>
      </c>
      <c r="I276" s="19"/>
      <c r="J276" s="22" t="str">
        <f t="shared" si="12"/>
        <v/>
      </c>
      <c r="K276" s="10" t="str">
        <f t="shared" ca="1" si="13"/>
        <v/>
      </c>
      <c r="L276" s="7" t="str">
        <f t="shared" ca="1" si="14"/>
        <v/>
      </c>
    </row>
    <row r="277" spans="8:12" x14ac:dyDescent="0.25">
      <c r="H277" s="10" t="str">
        <f>IF(G277="","",VLOOKUP(G277,MEGHBELA!$A$2:$C$100,3,FALSE))</f>
        <v/>
      </c>
      <c r="I277" s="18"/>
      <c r="J277" s="22" t="str">
        <f t="shared" si="12"/>
        <v/>
      </c>
      <c r="K277" s="10" t="str">
        <f t="shared" ca="1" si="13"/>
        <v/>
      </c>
      <c r="L277" s="7" t="str">
        <f t="shared" ca="1" si="14"/>
        <v/>
      </c>
    </row>
    <row r="278" spans="8:12" x14ac:dyDescent="0.25">
      <c r="H278" s="10" t="str">
        <f>IF(G278="","",VLOOKUP(G278,MEGHBELA!$A$2:$C$100,3,FALSE))</f>
        <v/>
      </c>
      <c r="I278" s="19"/>
      <c r="J278" s="22" t="str">
        <f t="shared" si="12"/>
        <v/>
      </c>
      <c r="K278" s="10" t="str">
        <f t="shared" ca="1" si="13"/>
        <v/>
      </c>
      <c r="L278" s="7" t="str">
        <f t="shared" ca="1" si="14"/>
        <v/>
      </c>
    </row>
    <row r="279" spans="8:12" x14ac:dyDescent="0.25">
      <c r="H279" s="10" t="str">
        <f>IF(G279="","",VLOOKUP(G279,MEGHBELA!$A$2:$C$100,3,FALSE))</f>
        <v/>
      </c>
      <c r="I279" s="18"/>
      <c r="J279" s="22" t="str">
        <f t="shared" si="12"/>
        <v/>
      </c>
      <c r="K279" s="10" t="str">
        <f t="shared" ca="1" si="13"/>
        <v/>
      </c>
      <c r="L279" s="7" t="str">
        <f t="shared" ca="1" si="14"/>
        <v/>
      </c>
    </row>
    <row r="280" spans="8:12" x14ac:dyDescent="0.25">
      <c r="H280" s="10" t="str">
        <f>IF(G280="","",VLOOKUP(G280,MEGHBELA!$A$2:$C$100,3,FALSE))</f>
        <v/>
      </c>
      <c r="I280" s="19"/>
      <c r="J280" s="22" t="str">
        <f t="shared" si="12"/>
        <v/>
      </c>
      <c r="K280" s="10" t="str">
        <f t="shared" ca="1" si="13"/>
        <v/>
      </c>
      <c r="L280" s="7" t="str">
        <f t="shared" ca="1" si="14"/>
        <v/>
      </c>
    </row>
    <row r="281" spans="8:12" x14ac:dyDescent="0.25">
      <c r="H281" s="10" t="str">
        <f>IF(G281="","",VLOOKUP(G281,MEGHBELA!$A$2:$C$100,3,FALSE))</f>
        <v/>
      </c>
      <c r="I281" s="18"/>
      <c r="J281" s="22" t="str">
        <f t="shared" si="12"/>
        <v/>
      </c>
      <c r="K281" s="10" t="str">
        <f t="shared" ca="1" si="13"/>
        <v/>
      </c>
      <c r="L281" s="7" t="str">
        <f t="shared" ca="1" si="14"/>
        <v/>
      </c>
    </row>
    <row r="282" spans="8:12" x14ac:dyDescent="0.25">
      <c r="H282" s="10" t="str">
        <f>IF(G282="","",VLOOKUP(G282,MEGHBELA!$A$2:$C$100,3,FALSE))</f>
        <v/>
      </c>
      <c r="I282" s="19"/>
      <c r="J282" s="22" t="str">
        <f t="shared" si="12"/>
        <v/>
      </c>
      <c r="K282" s="10" t="str">
        <f t="shared" ca="1" si="13"/>
        <v/>
      </c>
      <c r="L282" s="7" t="str">
        <f t="shared" ca="1" si="14"/>
        <v/>
      </c>
    </row>
    <row r="283" spans="8:12" x14ac:dyDescent="0.25">
      <c r="H283" s="10" t="str">
        <f>IF(G283="","",VLOOKUP(G283,MEGHBELA!$A$2:$C$100,3,FALSE))</f>
        <v/>
      </c>
      <c r="I283" s="18"/>
      <c r="J283" s="22" t="str">
        <f t="shared" si="12"/>
        <v/>
      </c>
      <c r="K283" s="10" t="str">
        <f t="shared" ca="1" si="13"/>
        <v/>
      </c>
      <c r="L283" s="7" t="str">
        <f t="shared" ca="1" si="14"/>
        <v/>
      </c>
    </row>
    <row r="284" spans="8:12" x14ac:dyDescent="0.25">
      <c r="H284" s="10" t="str">
        <f>IF(G284="","",VLOOKUP(G284,MEGHBELA!$A$2:$C$100,3,FALSE))</f>
        <v/>
      </c>
      <c r="I284" s="19"/>
      <c r="J284" s="22" t="str">
        <f t="shared" si="12"/>
        <v/>
      </c>
      <c r="K284" s="10" t="str">
        <f t="shared" ca="1" si="13"/>
        <v/>
      </c>
      <c r="L284" s="7" t="str">
        <f t="shared" ca="1" si="14"/>
        <v/>
      </c>
    </row>
    <row r="285" spans="8:12" x14ac:dyDescent="0.25">
      <c r="H285" s="10" t="str">
        <f>IF(G285="","",VLOOKUP(G285,MEGHBELA!$A$2:$C$100,3,FALSE))</f>
        <v/>
      </c>
      <c r="I285" s="18"/>
      <c r="J285" s="22" t="str">
        <f t="shared" si="12"/>
        <v/>
      </c>
      <c r="K285" s="10" t="str">
        <f t="shared" ca="1" si="13"/>
        <v/>
      </c>
      <c r="L285" s="7" t="str">
        <f t="shared" ca="1" si="14"/>
        <v/>
      </c>
    </row>
    <row r="286" spans="8:12" x14ac:dyDescent="0.25">
      <c r="H286" s="10" t="str">
        <f>IF(G286="","",VLOOKUP(G286,MEGHBELA!$A$2:$C$100,3,FALSE))</f>
        <v/>
      </c>
      <c r="I286" s="19"/>
      <c r="J286" s="22" t="str">
        <f t="shared" si="12"/>
        <v/>
      </c>
      <c r="K286" s="10" t="str">
        <f t="shared" ca="1" si="13"/>
        <v/>
      </c>
      <c r="L286" s="7" t="str">
        <f t="shared" ca="1" si="14"/>
        <v/>
      </c>
    </row>
    <row r="287" spans="8:12" x14ac:dyDescent="0.25">
      <c r="H287" s="10" t="str">
        <f>IF(G287="","",VLOOKUP(G287,MEGHBELA!$A$2:$C$100,3,FALSE))</f>
        <v/>
      </c>
      <c r="I287" s="18"/>
      <c r="J287" s="22" t="str">
        <f t="shared" si="12"/>
        <v/>
      </c>
      <c r="K287" s="10" t="str">
        <f t="shared" ca="1" si="13"/>
        <v/>
      </c>
      <c r="L287" s="7" t="str">
        <f t="shared" ca="1" si="14"/>
        <v/>
      </c>
    </row>
    <row r="288" spans="8:12" x14ac:dyDescent="0.25">
      <c r="H288" s="10" t="str">
        <f>IF(G288="","",VLOOKUP(G288,MEGHBELA!$A$2:$C$100,3,FALSE))</f>
        <v/>
      </c>
      <c r="I288" s="19"/>
      <c r="J288" s="22" t="str">
        <f t="shared" si="12"/>
        <v/>
      </c>
      <c r="K288" s="10" t="str">
        <f t="shared" ca="1" si="13"/>
        <v/>
      </c>
      <c r="L288" s="7" t="str">
        <f t="shared" ca="1" si="14"/>
        <v/>
      </c>
    </row>
    <row r="289" spans="8:12" x14ac:dyDescent="0.25">
      <c r="H289" s="10" t="str">
        <f>IF(G289="","",VLOOKUP(G289,MEGHBELA!$A$2:$C$100,3,FALSE))</f>
        <v/>
      </c>
      <c r="I289" s="18"/>
      <c r="J289" s="22" t="str">
        <f t="shared" si="12"/>
        <v/>
      </c>
      <c r="K289" s="10" t="str">
        <f t="shared" ca="1" si="13"/>
        <v/>
      </c>
      <c r="L289" s="7" t="str">
        <f t="shared" ca="1" si="14"/>
        <v/>
      </c>
    </row>
    <row r="290" spans="8:12" x14ac:dyDescent="0.25">
      <c r="H290" s="10" t="str">
        <f>IF(G290="","",VLOOKUP(G290,MEGHBELA!$A$2:$C$100,3,FALSE))</f>
        <v/>
      </c>
      <c r="I290" s="19"/>
      <c r="J290" s="22" t="str">
        <f t="shared" si="12"/>
        <v/>
      </c>
      <c r="K290" s="10" t="str">
        <f t="shared" ca="1" si="13"/>
        <v/>
      </c>
      <c r="L290" s="7" t="str">
        <f t="shared" ca="1" si="14"/>
        <v/>
      </c>
    </row>
    <row r="291" spans="8:12" x14ac:dyDescent="0.25">
      <c r="H291" s="10" t="str">
        <f>IF(G291="","",VLOOKUP(G291,MEGHBELA!$A$2:$C$100,3,FALSE))</f>
        <v/>
      </c>
      <c r="I291" s="18"/>
      <c r="J291" s="22" t="str">
        <f t="shared" si="12"/>
        <v/>
      </c>
      <c r="K291" s="10" t="str">
        <f t="shared" ca="1" si="13"/>
        <v/>
      </c>
      <c r="L291" s="7" t="str">
        <f t="shared" ca="1" si="14"/>
        <v/>
      </c>
    </row>
    <row r="292" spans="8:12" x14ac:dyDescent="0.25">
      <c r="H292" s="10" t="str">
        <f>IF(G292="","",VLOOKUP(G292,MEGHBELA!$A$2:$C$100,3,FALSE))</f>
        <v/>
      </c>
      <c r="I292" s="19"/>
      <c r="J292" s="22" t="str">
        <f t="shared" si="12"/>
        <v/>
      </c>
      <c r="K292" s="10" t="str">
        <f t="shared" ca="1" si="13"/>
        <v/>
      </c>
      <c r="L292" s="7" t="str">
        <f t="shared" ca="1" si="14"/>
        <v/>
      </c>
    </row>
    <row r="293" spans="8:12" x14ac:dyDescent="0.25">
      <c r="H293" s="10" t="str">
        <f>IF(G293="","",VLOOKUP(G293,MEGHBELA!$A$2:$C$100,3,FALSE))</f>
        <v/>
      </c>
      <c r="I293" s="18"/>
      <c r="J293" s="22" t="str">
        <f t="shared" si="12"/>
        <v/>
      </c>
      <c r="K293" s="10" t="str">
        <f t="shared" ca="1" si="13"/>
        <v/>
      </c>
      <c r="L293" s="7" t="str">
        <f t="shared" ca="1" si="14"/>
        <v/>
      </c>
    </row>
    <row r="294" spans="8:12" x14ac:dyDescent="0.25">
      <c r="H294" s="10" t="str">
        <f>IF(G294="","",VLOOKUP(G294,MEGHBELA!$A$2:$C$100,3,FALSE))</f>
        <v/>
      </c>
      <c r="I294" s="19"/>
      <c r="J294" s="22" t="str">
        <f t="shared" si="12"/>
        <v/>
      </c>
      <c r="K294" s="10" t="str">
        <f t="shared" ca="1" si="13"/>
        <v/>
      </c>
      <c r="L294" s="7" t="str">
        <f t="shared" ca="1" si="14"/>
        <v/>
      </c>
    </row>
    <row r="295" spans="8:12" x14ac:dyDescent="0.25">
      <c r="H295" s="10" t="str">
        <f>IF(G295="","",VLOOKUP(G295,MEGHBELA!$A$2:$C$100,3,FALSE))</f>
        <v/>
      </c>
      <c r="I295" s="18"/>
      <c r="J295" s="22" t="str">
        <f t="shared" si="12"/>
        <v/>
      </c>
      <c r="K295" s="10" t="str">
        <f t="shared" ca="1" si="13"/>
        <v/>
      </c>
      <c r="L295" s="7" t="str">
        <f t="shared" ca="1" si="14"/>
        <v/>
      </c>
    </row>
    <row r="296" spans="8:12" x14ac:dyDescent="0.25">
      <c r="H296" s="10" t="str">
        <f>IF(G296="","",VLOOKUP(G296,MEGHBELA!$A$2:$C$100,3,FALSE))</f>
        <v/>
      </c>
      <c r="I296" s="19"/>
      <c r="J296" s="22" t="str">
        <f t="shared" si="12"/>
        <v/>
      </c>
      <c r="K296" s="10" t="str">
        <f t="shared" ca="1" si="13"/>
        <v/>
      </c>
      <c r="L296" s="7" t="str">
        <f t="shared" ca="1" si="14"/>
        <v/>
      </c>
    </row>
    <row r="297" spans="8:12" x14ac:dyDescent="0.25">
      <c r="H297" s="10" t="str">
        <f>IF(G297="","",VLOOKUP(G297,MEGHBELA!$A$2:$C$100,3,FALSE))</f>
        <v/>
      </c>
      <c r="I297" s="18"/>
      <c r="J297" s="22" t="str">
        <f t="shared" si="12"/>
        <v/>
      </c>
      <c r="K297" s="10" t="str">
        <f t="shared" ca="1" si="13"/>
        <v/>
      </c>
      <c r="L297" s="7" t="str">
        <f t="shared" ca="1" si="14"/>
        <v/>
      </c>
    </row>
    <row r="298" spans="8:12" x14ac:dyDescent="0.25">
      <c r="H298" s="10" t="str">
        <f>IF(G298="","",VLOOKUP(G298,MEGHBELA!$A$2:$C$100,3,FALSE))</f>
        <v/>
      </c>
      <c r="I298" s="19"/>
      <c r="J298" s="22" t="str">
        <f t="shared" si="12"/>
        <v/>
      </c>
      <c r="K298" s="10" t="str">
        <f t="shared" ca="1" si="13"/>
        <v/>
      </c>
      <c r="L298" s="7" t="str">
        <f t="shared" ca="1" si="14"/>
        <v/>
      </c>
    </row>
    <row r="299" spans="8:12" x14ac:dyDescent="0.25">
      <c r="H299" s="10" t="str">
        <f>IF(G299="","",VLOOKUP(G299,MEGHBELA!$A$2:$C$100,3,FALSE))</f>
        <v/>
      </c>
      <c r="I299" s="18"/>
      <c r="J299" s="22" t="str">
        <f t="shared" si="12"/>
        <v/>
      </c>
      <c r="K299" s="10" t="str">
        <f t="shared" ca="1" si="13"/>
        <v/>
      </c>
      <c r="L299" s="7" t="str">
        <f t="shared" ca="1" si="14"/>
        <v/>
      </c>
    </row>
    <row r="300" spans="8:12" x14ac:dyDescent="0.25">
      <c r="H300" s="10" t="str">
        <f>IF(G300="","",VLOOKUP(G300,MEGHBELA!$A$2:$C$100,3,FALSE))</f>
        <v/>
      </c>
      <c r="I300" s="19"/>
      <c r="J300" s="22" t="str">
        <f t="shared" si="12"/>
        <v/>
      </c>
      <c r="K300" s="10" t="str">
        <f t="shared" ca="1" si="13"/>
        <v/>
      </c>
      <c r="L300" s="7" t="str">
        <f t="shared" ca="1" si="14"/>
        <v/>
      </c>
    </row>
    <row r="301" spans="8:12" x14ac:dyDescent="0.25">
      <c r="H301" s="10" t="str">
        <f>IF(G301="","",VLOOKUP(G301,MEGHBELA!$A$2:$C$100,3,FALSE))</f>
        <v/>
      </c>
      <c r="I301" s="18"/>
      <c r="J301" s="22" t="str">
        <f t="shared" si="12"/>
        <v/>
      </c>
      <c r="K301" s="10" t="str">
        <f t="shared" ca="1" si="13"/>
        <v/>
      </c>
      <c r="L301" s="7" t="str">
        <f t="shared" ca="1" si="14"/>
        <v/>
      </c>
    </row>
    <row r="302" spans="8:12" x14ac:dyDescent="0.25">
      <c r="H302" s="10" t="str">
        <f>IF(G302="","",VLOOKUP(G302,MEGHBELA!$A$2:$C$100,3,FALSE))</f>
        <v/>
      </c>
      <c r="I302" s="19"/>
      <c r="J302" s="22" t="str">
        <f t="shared" si="12"/>
        <v/>
      </c>
      <c r="K302" s="10" t="str">
        <f t="shared" ca="1" si="13"/>
        <v/>
      </c>
      <c r="L302" s="7" t="str">
        <f t="shared" ca="1" si="14"/>
        <v/>
      </c>
    </row>
    <row r="303" spans="8:12" x14ac:dyDescent="0.25">
      <c r="H303" s="10" t="str">
        <f>IF(G303="","",VLOOKUP(G303,MEGHBELA!$A$2:$C$100,3,FALSE))</f>
        <v/>
      </c>
      <c r="I303" s="18"/>
      <c r="J303" s="22" t="str">
        <f t="shared" si="12"/>
        <v/>
      </c>
      <c r="K303" s="10" t="str">
        <f t="shared" ca="1" si="13"/>
        <v/>
      </c>
      <c r="L303" s="7" t="str">
        <f t="shared" ca="1" si="14"/>
        <v/>
      </c>
    </row>
    <row r="304" spans="8:12" x14ac:dyDescent="0.25">
      <c r="H304" s="10" t="str">
        <f>IF(G304="","",VLOOKUP(G304,MEGHBELA!$A$2:$C$100,3,FALSE))</f>
        <v/>
      </c>
      <c r="I304" s="19"/>
      <c r="J304" s="22" t="str">
        <f t="shared" si="12"/>
        <v/>
      </c>
      <c r="K304" s="10" t="str">
        <f t="shared" ca="1" si="13"/>
        <v/>
      </c>
      <c r="L304" s="7" t="str">
        <f t="shared" ca="1" si="14"/>
        <v/>
      </c>
    </row>
    <row r="305" spans="8:12" x14ac:dyDescent="0.25">
      <c r="H305" s="10" t="str">
        <f>IF(G305="","",VLOOKUP(G305,MEGHBELA!$A$2:$C$100,3,FALSE))</f>
        <v/>
      </c>
      <c r="I305" s="18"/>
      <c r="J305" s="22" t="str">
        <f t="shared" si="12"/>
        <v/>
      </c>
      <c r="K305" s="10" t="str">
        <f t="shared" ca="1" si="13"/>
        <v/>
      </c>
      <c r="L305" s="7" t="str">
        <f t="shared" ca="1" si="14"/>
        <v/>
      </c>
    </row>
    <row r="306" spans="8:12" x14ac:dyDescent="0.25">
      <c r="H306" s="10" t="str">
        <f>IF(G306="","",VLOOKUP(G306,MEGHBELA!$A$2:$C$100,3,FALSE))</f>
        <v/>
      </c>
      <c r="I306" s="19"/>
      <c r="J306" s="22" t="str">
        <f t="shared" si="12"/>
        <v/>
      </c>
      <c r="K306" s="10" t="str">
        <f t="shared" ca="1" si="13"/>
        <v/>
      </c>
      <c r="L306" s="7" t="str">
        <f t="shared" ca="1" si="14"/>
        <v/>
      </c>
    </row>
    <row r="307" spans="8:12" x14ac:dyDescent="0.25">
      <c r="H307" s="10" t="str">
        <f>IF(G307="","",VLOOKUP(G307,MEGHBELA!$A$2:$C$100,3,FALSE))</f>
        <v/>
      </c>
      <c r="I307" s="18"/>
      <c r="J307" s="22" t="str">
        <f t="shared" si="12"/>
        <v/>
      </c>
      <c r="K307" s="10" t="str">
        <f t="shared" ca="1" si="13"/>
        <v/>
      </c>
      <c r="L307" s="7" t="str">
        <f t="shared" ca="1" si="14"/>
        <v/>
      </c>
    </row>
    <row r="308" spans="8:12" x14ac:dyDescent="0.25">
      <c r="H308" s="10" t="str">
        <f>IF(G308="","",VLOOKUP(G308,MEGHBELA!$A$2:$C$100,3,FALSE))</f>
        <v/>
      </c>
      <c r="I308" s="19"/>
      <c r="J308" s="22" t="str">
        <f t="shared" si="12"/>
        <v/>
      </c>
      <c r="K308" s="10" t="str">
        <f t="shared" ca="1" si="13"/>
        <v/>
      </c>
      <c r="L308" s="7" t="str">
        <f t="shared" ca="1" si="14"/>
        <v/>
      </c>
    </row>
    <row r="309" spans="8:12" x14ac:dyDescent="0.25">
      <c r="H309" s="10" t="str">
        <f>IF(G309="","",VLOOKUP(G309,MEGHBELA!$A$2:$C$100,3,FALSE))</f>
        <v/>
      </c>
      <c r="I309" s="18"/>
      <c r="J309" s="22" t="str">
        <f t="shared" si="12"/>
        <v/>
      </c>
      <c r="K309" s="10" t="str">
        <f t="shared" ca="1" si="13"/>
        <v/>
      </c>
      <c r="L309" s="7" t="str">
        <f t="shared" ca="1" si="14"/>
        <v/>
      </c>
    </row>
    <row r="310" spans="8:12" x14ac:dyDescent="0.25">
      <c r="H310" s="10" t="str">
        <f>IF(G310="","",VLOOKUP(G310,MEGHBELA!$A$2:$C$100,3,FALSE))</f>
        <v/>
      </c>
      <c r="I310" s="19"/>
      <c r="J310" s="22" t="str">
        <f t="shared" si="12"/>
        <v/>
      </c>
      <c r="K310" s="10" t="str">
        <f t="shared" ca="1" si="13"/>
        <v/>
      </c>
      <c r="L310" s="7" t="str">
        <f t="shared" ca="1" si="14"/>
        <v/>
      </c>
    </row>
    <row r="311" spans="8:12" x14ac:dyDescent="0.25">
      <c r="H311" s="10" t="str">
        <f>IF(G311="","",VLOOKUP(G311,MEGHBELA!$A$2:$C$100,3,FALSE))</f>
        <v/>
      </c>
      <c r="I311" s="18"/>
      <c r="J311" s="22" t="str">
        <f t="shared" si="12"/>
        <v/>
      </c>
      <c r="K311" s="10" t="str">
        <f t="shared" ca="1" si="13"/>
        <v/>
      </c>
      <c r="L311" s="7" t="str">
        <f t="shared" ca="1" si="14"/>
        <v/>
      </c>
    </row>
    <row r="312" spans="8:12" x14ac:dyDescent="0.25">
      <c r="H312" s="10" t="str">
        <f>IF(G312="","",VLOOKUP(G312,MEGHBELA!$A$2:$C$100,3,FALSE))</f>
        <v/>
      </c>
      <c r="I312" s="19"/>
      <c r="J312" s="22" t="str">
        <f t="shared" si="12"/>
        <v/>
      </c>
      <c r="K312" s="10" t="str">
        <f t="shared" ca="1" si="13"/>
        <v/>
      </c>
      <c r="L312" s="7" t="str">
        <f t="shared" ca="1" si="14"/>
        <v/>
      </c>
    </row>
    <row r="313" spans="8:12" x14ac:dyDescent="0.25">
      <c r="H313" s="10" t="str">
        <f>IF(G313="","",VLOOKUP(G313,MEGHBELA!$A$2:$C$100,3,FALSE))</f>
        <v/>
      </c>
      <c r="I313" s="18"/>
      <c r="J313" s="22" t="str">
        <f t="shared" si="12"/>
        <v/>
      </c>
      <c r="K313" s="10" t="str">
        <f t="shared" ca="1" si="13"/>
        <v/>
      </c>
      <c r="L313" s="7" t="str">
        <f t="shared" ca="1" si="14"/>
        <v/>
      </c>
    </row>
    <row r="314" spans="8:12" x14ac:dyDescent="0.25">
      <c r="H314" s="10" t="str">
        <f>IF(G314="","",VLOOKUP(G314,MEGHBELA!$A$2:$C$100,3,FALSE))</f>
        <v/>
      </c>
      <c r="I314" s="19"/>
      <c r="J314" s="22" t="str">
        <f t="shared" si="12"/>
        <v/>
      </c>
      <c r="K314" s="10" t="str">
        <f t="shared" ca="1" si="13"/>
        <v/>
      </c>
      <c r="L314" s="7" t="str">
        <f t="shared" ca="1" si="14"/>
        <v/>
      </c>
    </row>
    <row r="315" spans="8:12" x14ac:dyDescent="0.25">
      <c r="H315" s="10" t="str">
        <f>IF(G315="","",VLOOKUP(G315,MEGHBELA!$A$2:$C$100,3,FALSE))</f>
        <v/>
      </c>
      <c r="I315" s="18"/>
      <c r="J315" s="22" t="str">
        <f t="shared" si="12"/>
        <v/>
      </c>
      <c r="K315" s="10" t="str">
        <f t="shared" ca="1" si="13"/>
        <v/>
      </c>
      <c r="L315" s="7" t="str">
        <f t="shared" ca="1" si="14"/>
        <v/>
      </c>
    </row>
    <row r="316" spans="8:12" x14ac:dyDescent="0.25">
      <c r="H316" s="10" t="str">
        <f>IF(G316="","",VLOOKUP(G316,MEGHBELA!$A$2:$C$100,3,FALSE))</f>
        <v/>
      </c>
      <c r="I316" s="19"/>
      <c r="J316" s="22" t="str">
        <f t="shared" si="12"/>
        <v/>
      </c>
      <c r="K316" s="10" t="str">
        <f t="shared" ca="1" si="13"/>
        <v/>
      </c>
      <c r="L316" s="7" t="str">
        <f t="shared" ca="1" si="14"/>
        <v/>
      </c>
    </row>
    <row r="317" spans="8:12" x14ac:dyDescent="0.25">
      <c r="H317" s="10" t="str">
        <f>IF(G317="","",VLOOKUP(G317,MEGHBELA!$A$2:$C$100,3,FALSE))</f>
        <v/>
      </c>
      <c r="I317" s="18"/>
      <c r="J317" s="22" t="str">
        <f t="shared" si="12"/>
        <v/>
      </c>
      <c r="K317" s="10" t="str">
        <f t="shared" ca="1" si="13"/>
        <v/>
      </c>
      <c r="L317" s="7" t="str">
        <f t="shared" ca="1" si="14"/>
        <v/>
      </c>
    </row>
    <row r="318" spans="8:12" x14ac:dyDescent="0.25">
      <c r="H318" s="10" t="str">
        <f>IF(G318="","",VLOOKUP(G318,MEGHBELA!$A$2:$C$100,3,FALSE))</f>
        <v/>
      </c>
      <c r="I318" s="19"/>
      <c r="J318" s="22" t="str">
        <f t="shared" si="12"/>
        <v/>
      </c>
      <c r="K318" s="10" t="str">
        <f t="shared" ca="1" si="13"/>
        <v/>
      </c>
      <c r="L318" s="7" t="str">
        <f t="shared" ca="1" si="14"/>
        <v/>
      </c>
    </row>
    <row r="319" spans="8:12" x14ac:dyDescent="0.25">
      <c r="H319" s="10" t="str">
        <f>IF(G319="","",VLOOKUP(G319,MEGHBELA!$A$2:$C$100,3,FALSE))</f>
        <v/>
      </c>
      <c r="I319" s="18"/>
      <c r="J319" s="22" t="str">
        <f t="shared" si="12"/>
        <v/>
      </c>
      <c r="K319" s="10" t="str">
        <f t="shared" ca="1" si="13"/>
        <v/>
      </c>
      <c r="L319" s="7" t="str">
        <f t="shared" ca="1" si="14"/>
        <v/>
      </c>
    </row>
    <row r="320" spans="8:12" x14ac:dyDescent="0.25">
      <c r="H320" s="10" t="str">
        <f>IF(G320="","",VLOOKUP(G320,MEGHBELA!$A$2:$C$100,3,FALSE))</f>
        <v/>
      </c>
      <c r="I320" s="19"/>
      <c r="J320" s="22" t="str">
        <f t="shared" si="12"/>
        <v/>
      </c>
      <c r="K320" s="10" t="str">
        <f t="shared" ca="1" si="13"/>
        <v/>
      </c>
      <c r="L320" s="7" t="str">
        <f t="shared" ca="1" si="14"/>
        <v/>
      </c>
    </row>
    <row r="321" spans="8:12" x14ac:dyDescent="0.25">
      <c r="H321" s="10" t="str">
        <f>IF(G321="","",VLOOKUP(G321,MEGHBELA!$A$2:$C$100,3,FALSE))</f>
        <v/>
      </c>
      <c r="I321" s="18"/>
      <c r="J321" s="22" t="str">
        <f t="shared" si="12"/>
        <v/>
      </c>
      <c r="K321" s="10" t="str">
        <f t="shared" ca="1" si="13"/>
        <v/>
      </c>
      <c r="L321" s="7" t="str">
        <f t="shared" ca="1" si="14"/>
        <v/>
      </c>
    </row>
    <row r="322" spans="8:12" x14ac:dyDescent="0.25">
      <c r="H322" s="10" t="str">
        <f>IF(G322="","",VLOOKUP(G322,MEGHBELA!$A$2:$C$100,3,FALSE))</f>
        <v/>
      </c>
      <c r="I322" s="19"/>
      <c r="J322" s="22" t="str">
        <f t="shared" ref="J322:J385" si="15">IF(OR(I322="",H322=""),"",I322+H322)</f>
        <v/>
      </c>
      <c r="K322" s="10" t="str">
        <f t="shared" ref="K322:K385" ca="1" si="16">IF(J322="","",J322-TODAY())</f>
        <v/>
      </c>
      <c r="L322" s="7" t="str">
        <f t="shared" ref="L322:L385" ca="1" si="17">IF(K322="","",
IF(K322&lt;0,
HYPERLINK("https://web.whatsapp.com/send?phone=91"&amp;F322&amp;"&amp;text=Dear%20Customer,%20your%20internet%20plan%20expired%20on%20"&amp;TEXT(J322,"dd-mm-yyyy")&amp;".%20Your%20service%20is%20now%20stopped.%20Please%20renew%20immediately%20to%20restore%20service.%0A-----TRUESPEED%20BROADBAND","Send Stop Message"),
IF(K322&lt;=3,
HYPERLINK("https://web.whatsapp.com/send?phone=91"&amp;F322&amp;"&amp;text=Dear%20Customer,%20your%20internet%20plan%20will%20expire%20in%20"&amp;K322&amp;"%20days.%20Please%20renew%20before%20"&amp;TEXT(J322,"dd-mm-yyyy")&amp;".%0A-----TRUESPEED%20BROADBAND","Send Renewal Alert"),
"")))</f>
        <v/>
      </c>
    </row>
    <row r="323" spans="8:12" x14ac:dyDescent="0.25">
      <c r="H323" s="10" t="str">
        <f>IF(G323="","",VLOOKUP(G323,MEGHBELA!$A$2:$C$100,3,FALSE))</f>
        <v/>
      </c>
      <c r="I323" s="18"/>
      <c r="J323" s="22" t="str">
        <f t="shared" si="15"/>
        <v/>
      </c>
      <c r="K323" s="10" t="str">
        <f t="shared" ca="1" si="16"/>
        <v/>
      </c>
      <c r="L323" s="7" t="str">
        <f t="shared" ca="1" si="17"/>
        <v/>
      </c>
    </row>
    <row r="324" spans="8:12" x14ac:dyDescent="0.25">
      <c r="H324" s="10" t="str">
        <f>IF(G324="","",VLOOKUP(G324,MEGHBELA!$A$2:$C$100,3,FALSE))</f>
        <v/>
      </c>
      <c r="I324" s="19"/>
      <c r="J324" s="22" t="str">
        <f t="shared" si="15"/>
        <v/>
      </c>
      <c r="K324" s="10" t="str">
        <f t="shared" ca="1" si="16"/>
        <v/>
      </c>
      <c r="L324" s="7" t="str">
        <f t="shared" ca="1" si="17"/>
        <v/>
      </c>
    </row>
    <row r="325" spans="8:12" x14ac:dyDescent="0.25">
      <c r="H325" s="10" t="str">
        <f>IF(G325="","",VLOOKUP(G325,MEGHBELA!$A$2:$C$100,3,FALSE))</f>
        <v/>
      </c>
      <c r="I325" s="18"/>
      <c r="J325" s="22" t="str">
        <f t="shared" si="15"/>
        <v/>
      </c>
      <c r="K325" s="10" t="str">
        <f t="shared" ca="1" si="16"/>
        <v/>
      </c>
      <c r="L325" s="7" t="str">
        <f t="shared" ca="1" si="17"/>
        <v/>
      </c>
    </row>
    <row r="326" spans="8:12" x14ac:dyDescent="0.25">
      <c r="H326" s="10" t="str">
        <f>IF(G326="","",VLOOKUP(G326,MEGHBELA!$A$2:$C$100,3,FALSE))</f>
        <v/>
      </c>
      <c r="I326" s="19"/>
      <c r="J326" s="22" t="str">
        <f t="shared" si="15"/>
        <v/>
      </c>
      <c r="K326" s="10" t="str">
        <f t="shared" ca="1" si="16"/>
        <v/>
      </c>
      <c r="L326" s="7" t="str">
        <f t="shared" ca="1" si="17"/>
        <v/>
      </c>
    </row>
    <row r="327" spans="8:12" x14ac:dyDescent="0.25">
      <c r="H327" s="10" t="str">
        <f>IF(G327="","",VLOOKUP(G327,MEGHBELA!$A$2:$C$100,3,FALSE))</f>
        <v/>
      </c>
      <c r="I327" s="18"/>
      <c r="J327" s="22" t="str">
        <f t="shared" si="15"/>
        <v/>
      </c>
      <c r="K327" s="10" t="str">
        <f t="shared" ca="1" si="16"/>
        <v/>
      </c>
      <c r="L327" s="7" t="str">
        <f t="shared" ca="1" si="17"/>
        <v/>
      </c>
    </row>
    <row r="328" spans="8:12" x14ac:dyDescent="0.25">
      <c r="H328" s="10" t="str">
        <f>IF(G328="","",VLOOKUP(G328,MEGHBELA!$A$2:$C$100,3,FALSE))</f>
        <v/>
      </c>
      <c r="I328" s="19"/>
      <c r="J328" s="22" t="str">
        <f t="shared" si="15"/>
        <v/>
      </c>
      <c r="K328" s="10" t="str">
        <f t="shared" ca="1" si="16"/>
        <v/>
      </c>
      <c r="L328" s="7" t="str">
        <f t="shared" ca="1" si="17"/>
        <v/>
      </c>
    </row>
    <row r="329" spans="8:12" x14ac:dyDescent="0.25">
      <c r="H329" s="10" t="str">
        <f>IF(G329="","",VLOOKUP(G329,MEGHBELA!$A$2:$C$100,3,FALSE))</f>
        <v/>
      </c>
      <c r="I329" s="18"/>
      <c r="J329" s="22" t="str">
        <f t="shared" si="15"/>
        <v/>
      </c>
      <c r="K329" s="10" t="str">
        <f t="shared" ca="1" si="16"/>
        <v/>
      </c>
      <c r="L329" s="7" t="str">
        <f t="shared" ca="1" si="17"/>
        <v/>
      </c>
    </row>
    <row r="330" spans="8:12" x14ac:dyDescent="0.25">
      <c r="H330" s="10" t="str">
        <f>IF(G330="","",VLOOKUP(G330,MEGHBELA!$A$2:$C$100,3,FALSE))</f>
        <v/>
      </c>
      <c r="I330" s="19"/>
      <c r="J330" s="22" t="str">
        <f t="shared" si="15"/>
        <v/>
      </c>
      <c r="K330" s="10" t="str">
        <f t="shared" ca="1" si="16"/>
        <v/>
      </c>
      <c r="L330" s="7" t="str">
        <f t="shared" ca="1" si="17"/>
        <v/>
      </c>
    </row>
    <row r="331" spans="8:12" x14ac:dyDescent="0.25">
      <c r="H331" s="10" t="str">
        <f>IF(G331="","",VLOOKUP(G331,MEGHBELA!$A$2:$C$100,3,FALSE))</f>
        <v/>
      </c>
      <c r="I331" s="18"/>
      <c r="J331" s="22" t="str">
        <f t="shared" si="15"/>
        <v/>
      </c>
      <c r="K331" s="10" t="str">
        <f t="shared" ca="1" si="16"/>
        <v/>
      </c>
      <c r="L331" s="7" t="str">
        <f t="shared" ca="1" si="17"/>
        <v/>
      </c>
    </row>
    <row r="332" spans="8:12" x14ac:dyDescent="0.25">
      <c r="H332" s="10" t="str">
        <f>IF(G332="","",VLOOKUP(G332,MEGHBELA!$A$2:$C$100,3,FALSE))</f>
        <v/>
      </c>
      <c r="I332" s="19"/>
      <c r="J332" s="22" t="str">
        <f t="shared" si="15"/>
        <v/>
      </c>
      <c r="K332" s="10" t="str">
        <f t="shared" ca="1" si="16"/>
        <v/>
      </c>
      <c r="L332" s="7" t="str">
        <f t="shared" ca="1" si="17"/>
        <v/>
      </c>
    </row>
    <row r="333" spans="8:12" x14ac:dyDescent="0.25">
      <c r="H333" s="10" t="str">
        <f>IF(G333="","",VLOOKUP(G333,MEGHBELA!$A$2:$C$100,3,FALSE))</f>
        <v/>
      </c>
      <c r="I333" s="18"/>
      <c r="J333" s="22" t="str">
        <f t="shared" si="15"/>
        <v/>
      </c>
      <c r="K333" s="10" t="str">
        <f t="shared" ca="1" si="16"/>
        <v/>
      </c>
      <c r="L333" s="7" t="str">
        <f t="shared" ca="1" si="17"/>
        <v/>
      </c>
    </row>
    <row r="334" spans="8:12" x14ac:dyDescent="0.25">
      <c r="H334" s="10" t="str">
        <f>IF(G334="","",VLOOKUP(G334,MEGHBELA!$A$2:$C$100,3,FALSE))</f>
        <v/>
      </c>
      <c r="I334" s="19"/>
      <c r="J334" s="22" t="str">
        <f t="shared" si="15"/>
        <v/>
      </c>
      <c r="K334" s="10" t="str">
        <f t="shared" ca="1" si="16"/>
        <v/>
      </c>
      <c r="L334" s="7" t="str">
        <f t="shared" ca="1" si="17"/>
        <v/>
      </c>
    </row>
    <row r="335" spans="8:12" x14ac:dyDescent="0.25">
      <c r="H335" s="10" t="str">
        <f>IF(G335="","",VLOOKUP(G335,MEGHBELA!$A$2:$C$100,3,FALSE))</f>
        <v/>
      </c>
      <c r="I335" s="18"/>
      <c r="J335" s="22" t="str">
        <f t="shared" si="15"/>
        <v/>
      </c>
      <c r="K335" s="10" t="str">
        <f t="shared" ca="1" si="16"/>
        <v/>
      </c>
      <c r="L335" s="7" t="str">
        <f t="shared" ca="1" si="17"/>
        <v/>
      </c>
    </row>
    <row r="336" spans="8:12" x14ac:dyDescent="0.25">
      <c r="H336" s="10" t="str">
        <f>IF(G336="","",VLOOKUP(G336,MEGHBELA!$A$2:$C$100,3,FALSE))</f>
        <v/>
      </c>
      <c r="I336" s="19"/>
      <c r="J336" s="22" t="str">
        <f t="shared" si="15"/>
        <v/>
      </c>
      <c r="K336" s="10" t="str">
        <f t="shared" ca="1" si="16"/>
        <v/>
      </c>
      <c r="L336" s="7" t="str">
        <f t="shared" ca="1" si="17"/>
        <v/>
      </c>
    </row>
    <row r="337" spans="8:12" x14ac:dyDescent="0.25">
      <c r="H337" s="10" t="str">
        <f>IF(G337="","",VLOOKUP(G337,MEGHBELA!$A$2:$C$100,3,FALSE))</f>
        <v/>
      </c>
      <c r="I337" s="18"/>
      <c r="J337" s="22" t="str">
        <f t="shared" si="15"/>
        <v/>
      </c>
      <c r="K337" s="10" t="str">
        <f t="shared" ca="1" si="16"/>
        <v/>
      </c>
      <c r="L337" s="7" t="str">
        <f t="shared" ca="1" si="17"/>
        <v/>
      </c>
    </row>
    <row r="338" spans="8:12" x14ac:dyDescent="0.25">
      <c r="H338" s="10" t="str">
        <f>IF(G338="","",VLOOKUP(G338,MEGHBELA!$A$2:$C$100,3,FALSE))</f>
        <v/>
      </c>
      <c r="I338" s="19"/>
      <c r="J338" s="22" t="str">
        <f t="shared" si="15"/>
        <v/>
      </c>
      <c r="K338" s="10" t="str">
        <f t="shared" ca="1" si="16"/>
        <v/>
      </c>
      <c r="L338" s="7" t="str">
        <f t="shared" ca="1" si="17"/>
        <v/>
      </c>
    </row>
    <row r="339" spans="8:12" x14ac:dyDescent="0.25">
      <c r="H339" s="10" t="str">
        <f>IF(G339="","",VLOOKUP(G339,MEGHBELA!$A$2:$C$100,3,FALSE))</f>
        <v/>
      </c>
      <c r="I339" s="18"/>
      <c r="J339" s="22" t="str">
        <f t="shared" si="15"/>
        <v/>
      </c>
      <c r="K339" s="10" t="str">
        <f t="shared" ca="1" si="16"/>
        <v/>
      </c>
      <c r="L339" s="7" t="str">
        <f t="shared" ca="1" si="17"/>
        <v/>
      </c>
    </row>
    <row r="340" spans="8:12" x14ac:dyDescent="0.25">
      <c r="H340" s="10" t="str">
        <f>IF(G340="","",VLOOKUP(G340,MEGHBELA!$A$2:$C$100,3,FALSE))</f>
        <v/>
      </c>
      <c r="I340" s="19"/>
      <c r="J340" s="22" t="str">
        <f t="shared" si="15"/>
        <v/>
      </c>
      <c r="K340" s="10" t="str">
        <f t="shared" ca="1" si="16"/>
        <v/>
      </c>
      <c r="L340" s="7" t="str">
        <f t="shared" ca="1" si="17"/>
        <v/>
      </c>
    </row>
    <row r="341" spans="8:12" x14ac:dyDescent="0.25">
      <c r="H341" s="10" t="str">
        <f>IF(G341="","",VLOOKUP(G341,MEGHBELA!$A$2:$C$100,3,FALSE))</f>
        <v/>
      </c>
      <c r="I341" s="18"/>
      <c r="J341" s="22" t="str">
        <f t="shared" si="15"/>
        <v/>
      </c>
      <c r="K341" s="10" t="str">
        <f t="shared" ca="1" si="16"/>
        <v/>
      </c>
      <c r="L341" s="7" t="str">
        <f t="shared" ca="1" si="17"/>
        <v/>
      </c>
    </row>
    <row r="342" spans="8:12" x14ac:dyDescent="0.25">
      <c r="H342" s="10" t="str">
        <f>IF(G342="","",VLOOKUP(G342,MEGHBELA!$A$2:$C$100,3,FALSE))</f>
        <v/>
      </c>
      <c r="I342" s="19"/>
      <c r="J342" s="22" t="str">
        <f t="shared" si="15"/>
        <v/>
      </c>
      <c r="K342" s="10" t="str">
        <f t="shared" ca="1" si="16"/>
        <v/>
      </c>
      <c r="L342" s="7" t="str">
        <f t="shared" ca="1" si="17"/>
        <v/>
      </c>
    </row>
    <row r="343" spans="8:12" x14ac:dyDescent="0.25">
      <c r="H343" s="10" t="str">
        <f>IF(G343="","",VLOOKUP(G343,MEGHBELA!$A$2:$C$100,3,FALSE))</f>
        <v/>
      </c>
      <c r="I343" s="18"/>
      <c r="J343" s="22" t="str">
        <f t="shared" si="15"/>
        <v/>
      </c>
      <c r="K343" s="10" t="str">
        <f t="shared" ca="1" si="16"/>
        <v/>
      </c>
      <c r="L343" s="7" t="str">
        <f t="shared" ca="1" si="17"/>
        <v/>
      </c>
    </row>
    <row r="344" spans="8:12" x14ac:dyDescent="0.25">
      <c r="H344" s="10" t="str">
        <f>IF(G344="","",VLOOKUP(G344,MEGHBELA!$A$2:$C$100,3,FALSE))</f>
        <v/>
      </c>
      <c r="I344" s="19"/>
      <c r="J344" s="22" t="str">
        <f t="shared" si="15"/>
        <v/>
      </c>
      <c r="K344" s="10" t="str">
        <f t="shared" ca="1" si="16"/>
        <v/>
      </c>
      <c r="L344" s="7" t="str">
        <f t="shared" ca="1" si="17"/>
        <v/>
      </c>
    </row>
    <row r="345" spans="8:12" x14ac:dyDescent="0.25">
      <c r="H345" s="10" t="str">
        <f>IF(G345="","",VLOOKUP(G345,MEGHBELA!$A$2:$C$100,3,FALSE))</f>
        <v/>
      </c>
      <c r="I345" s="18"/>
      <c r="J345" s="22" t="str">
        <f t="shared" si="15"/>
        <v/>
      </c>
      <c r="K345" s="10" t="str">
        <f t="shared" ca="1" si="16"/>
        <v/>
      </c>
      <c r="L345" s="7" t="str">
        <f t="shared" ca="1" si="17"/>
        <v/>
      </c>
    </row>
    <row r="346" spans="8:12" x14ac:dyDescent="0.25">
      <c r="H346" s="10" t="str">
        <f>IF(G346="","",VLOOKUP(G346,MEGHBELA!$A$2:$C$100,3,FALSE))</f>
        <v/>
      </c>
      <c r="I346" s="19"/>
      <c r="J346" s="22" t="str">
        <f t="shared" si="15"/>
        <v/>
      </c>
      <c r="K346" s="10" t="str">
        <f t="shared" ca="1" si="16"/>
        <v/>
      </c>
      <c r="L346" s="7" t="str">
        <f t="shared" ca="1" si="17"/>
        <v/>
      </c>
    </row>
    <row r="347" spans="8:12" x14ac:dyDescent="0.25">
      <c r="H347" s="10" t="str">
        <f>IF(G347="","",VLOOKUP(G347,MEGHBELA!$A$2:$C$100,3,FALSE))</f>
        <v/>
      </c>
      <c r="I347" s="18"/>
      <c r="J347" s="22" t="str">
        <f t="shared" si="15"/>
        <v/>
      </c>
      <c r="K347" s="10" t="str">
        <f t="shared" ca="1" si="16"/>
        <v/>
      </c>
      <c r="L347" s="7" t="str">
        <f t="shared" ca="1" si="17"/>
        <v/>
      </c>
    </row>
    <row r="348" spans="8:12" x14ac:dyDescent="0.25">
      <c r="H348" s="10" t="str">
        <f>IF(G348="","",VLOOKUP(G348,MEGHBELA!$A$2:$C$100,3,FALSE))</f>
        <v/>
      </c>
      <c r="I348" s="19"/>
      <c r="J348" s="22" t="str">
        <f t="shared" si="15"/>
        <v/>
      </c>
      <c r="K348" s="10" t="str">
        <f t="shared" ca="1" si="16"/>
        <v/>
      </c>
      <c r="L348" s="7" t="str">
        <f t="shared" ca="1" si="17"/>
        <v/>
      </c>
    </row>
    <row r="349" spans="8:12" x14ac:dyDescent="0.25">
      <c r="H349" s="10" t="str">
        <f>IF(G349="","",VLOOKUP(G349,MEGHBELA!$A$2:$C$100,3,FALSE))</f>
        <v/>
      </c>
      <c r="I349" s="18"/>
      <c r="J349" s="22" t="str">
        <f t="shared" si="15"/>
        <v/>
      </c>
      <c r="K349" s="10" t="str">
        <f t="shared" ca="1" si="16"/>
        <v/>
      </c>
      <c r="L349" s="7" t="str">
        <f t="shared" ca="1" si="17"/>
        <v/>
      </c>
    </row>
    <row r="350" spans="8:12" x14ac:dyDescent="0.25">
      <c r="H350" s="10" t="str">
        <f>IF(G350="","",VLOOKUP(G350,MEGHBELA!$A$2:$C$100,3,FALSE))</f>
        <v/>
      </c>
      <c r="I350" s="19"/>
      <c r="J350" s="22" t="str">
        <f t="shared" si="15"/>
        <v/>
      </c>
      <c r="K350" s="10" t="str">
        <f t="shared" ca="1" si="16"/>
        <v/>
      </c>
      <c r="L350" s="7" t="str">
        <f t="shared" ca="1" si="17"/>
        <v/>
      </c>
    </row>
    <row r="351" spans="8:12" x14ac:dyDescent="0.25">
      <c r="H351" s="10" t="str">
        <f>IF(G351="","",VLOOKUP(G351,MEGHBELA!$A$2:$C$100,3,FALSE))</f>
        <v/>
      </c>
      <c r="I351" s="18"/>
      <c r="J351" s="22" t="str">
        <f t="shared" si="15"/>
        <v/>
      </c>
      <c r="K351" s="10" t="str">
        <f t="shared" ca="1" si="16"/>
        <v/>
      </c>
      <c r="L351" s="7" t="str">
        <f t="shared" ca="1" si="17"/>
        <v/>
      </c>
    </row>
    <row r="352" spans="8:12" x14ac:dyDescent="0.25">
      <c r="H352" s="10" t="str">
        <f>IF(G352="","",VLOOKUP(G352,MEGHBELA!$A$2:$C$100,3,FALSE))</f>
        <v/>
      </c>
      <c r="I352" s="19"/>
      <c r="J352" s="22" t="str">
        <f t="shared" si="15"/>
        <v/>
      </c>
      <c r="K352" s="10" t="str">
        <f t="shared" ca="1" si="16"/>
        <v/>
      </c>
      <c r="L352" s="7" t="str">
        <f t="shared" ca="1" si="17"/>
        <v/>
      </c>
    </row>
    <row r="353" spans="8:12" x14ac:dyDescent="0.25">
      <c r="H353" s="10" t="str">
        <f>IF(G353="","",VLOOKUP(G353,MEGHBELA!$A$2:$C$100,3,FALSE))</f>
        <v/>
      </c>
      <c r="I353" s="18"/>
      <c r="J353" s="22" t="str">
        <f t="shared" si="15"/>
        <v/>
      </c>
      <c r="K353" s="10" t="str">
        <f t="shared" ca="1" si="16"/>
        <v/>
      </c>
      <c r="L353" s="7" t="str">
        <f t="shared" ca="1" si="17"/>
        <v/>
      </c>
    </row>
    <row r="354" spans="8:12" x14ac:dyDescent="0.25">
      <c r="H354" s="10" t="str">
        <f>IF(G354="","",VLOOKUP(G354,MEGHBELA!$A$2:$C$100,3,FALSE))</f>
        <v/>
      </c>
      <c r="I354" s="19"/>
      <c r="J354" s="22" t="str">
        <f t="shared" si="15"/>
        <v/>
      </c>
      <c r="K354" s="10" t="str">
        <f t="shared" ca="1" si="16"/>
        <v/>
      </c>
      <c r="L354" s="7" t="str">
        <f t="shared" ca="1" si="17"/>
        <v/>
      </c>
    </row>
    <row r="355" spans="8:12" x14ac:dyDescent="0.25">
      <c r="H355" s="10" t="str">
        <f>IF(G355="","",VLOOKUP(G355,MEGHBELA!$A$2:$C$100,3,FALSE))</f>
        <v/>
      </c>
      <c r="I355" s="18"/>
      <c r="J355" s="22" t="str">
        <f t="shared" si="15"/>
        <v/>
      </c>
      <c r="K355" s="10" t="str">
        <f t="shared" ca="1" si="16"/>
        <v/>
      </c>
      <c r="L355" s="7" t="str">
        <f t="shared" ca="1" si="17"/>
        <v/>
      </c>
    </row>
    <row r="356" spans="8:12" x14ac:dyDescent="0.25">
      <c r="H356" s="10" t="str">
        <f>IF(G356="","",VLOOKUP(G356,MEGHBELA!$A$2:$C$100,3,FALSE))</f>
        <v/>
      </c>
      <c r="I356" s="19"/>
      <c r="J356" s="22" t="str">
        <f t="shared" si="15"/>
        <v/>
      </c>
      <c r="K356" s="10" t="str">
        <f t="shared" ca="1" si="16"/>
        <v/>
      </c>
      <c r="L356" s="7" t="str">
        <f t="shared" ca="1" si="17"/>
        <v/>
      </c>
    </row>
    <row r="357" spans="8:12" x14ac:dyDescent="0.25">
      <c r="H357" s="10" t="str">
        <f>IF(G357="","",VLOOKUP(G357,MEGHBELA!$A$2:$C$100,3,FALSE))</f>
        <v/>
      </c>
      <c r="I357" s="18"/>
      <c r="J357" s="22" t="str">
        <f t="shared" si="15"/>
        <v/>
      </c>
      <c r="K357" s="10" t="str">
        <f t="shared" ca="1" si="16"/>
        <v/>
      </c>
      <c r="L357" s="7" t="str">
        <f t="shared" ca="1" si="17"/>
        <v/>
      </c>
    </row>
    <row r="358" spans="8:12" x14ac:dyDescent="0.25">
      <c r="H358" s="10" t="str">
        <f>IF(G358="","",VLOOKUP(G358,MEGHBELA!$A$2:$C$100,3,FALSE))</f>
        <v/>
      </c>
      <c r="I358" s="19"/>
      <c r="J358" s="22" t="str">
        <f t="shared" si="15"/>
        <v/>
      </c>
      <c r="K358" s="10" t="str">
        <f t="shared" ca="1" si="16"/>
        <v/>
      </c>
      <c r="L358" s="7" t="str">
        <f t="shared" ca="1" si="17"/>
        <v/>
      </c>
    </row>
    <row r="359" spans="8:12" x14ac:dyDescent="0.25">
      <c r="H359" s="10" t="str">
        <f>IF(G359="","",VLOOKUP(G359,MEGHBELA!$A$2:$C$100,3,FALSE))</f>
        <v/>
      </c>
      <c r="I359" s="18"/>
      <c r="J359" s="22" t="str">
        <f t="shared" si="15"/>
        <v/>
      </c>
      <c r="K359" s="10" t="str">
        <f t="shared" ca="1" si="16"/>
        <v/>
      </c>
      <c r="L359" s="7" t="str">
        <f t="shared" ca="1" si="17"/>
        <v/>
      </c>
    </row>
    <row r="360" spans="8:12" x14ac:dyDescent="0.25">
      <c r="H360" s="10" t="str">
        <f>IF(G360="","",VLOOKUP(G360,MEGHBELA!$A$2:$C$100,3,FALSE))</f>
        <v/>
      </c>
      <c r="I360" s="19"/>
      <c r="J360" s="22" t="str">
        <f t="shared" si="15"/>
        <v/>
      </c>
      <c r="K360" s="10" t="str">
        <f t="shared" ca="1" si="16"/>
        <v/>
      </c>
      <c r="L360" s="7" t="str">
        <f t="shared" ca="1" si="17"/>
        <v/>
      </c>
    </row>
    <row r="361" spans="8:12" x14ac:dyDescent="0.25">
      <c r="H361" s="10" t="str">
        <f>IF(G361="","",VLOOKUP(G361,MEGHBELA!$A$2:$C$100,3,FALSE))</f>
        <v/>
      </c>
      <c r="I361" s="18"/>
      <c r="J361" s="22" t="str">
        <f t="shared" si="15"/>
        <v/>
      </c>
      <c r="K361" s="10" t="str">
        <f t="shared" ca="1" si="16"/>
        <v/>
      </c>
      <c r="L361" s="7" t="str">
        <f t="shared" ca="1" si="17"/>
        <v/>
      </c>
    </row>
    <row r="362" spans="8:12" x14ac:dyDescent="0.25">
      <c r="H362" s="10" t="str">
        <f>IF(G362="","",VLOOKUP(G362,MEGHBELA!$A$2:$C$100,3,FALSE))</f>
        <v/>
      </c>
      <c r="I362" s="19"/>
      <c r="J362" s="22" t="str">
        <f t="shared" si="15"/>
        <v/>
      </c>
      <c r="K362" s="10" t="str">
        <f t="shared" ca="1" si="16"/>
        <v/>
      </c>
      <c r="L362" s="7" t="str">
        <f t="shared" ca="1" si="17"/>
        <v/>
      </c>
    </row>
    <row r="363" spans="8:12" x14ac:dyDescent="0.25">
      <c r="H363" s="10" t="str">
        <f>IF(G363="","",VLOOKUP(G363,MEGHBELA!$A$2:$C$100,3,FALSE))</f>
        <v/>
      </c>
      <c r="I363" s="18"/>
      <c r="J363" s="22" t="str">
        <f t="shared" si="15"/>
        <v/>
      </c>
      <c r="K363" s="10" t="str">
        <f t="shared" ca="1" si="16"/>
        <v/>
      </c>
      <c r="L363" s="7" t="str">
        <f t="shared" ca="1" si="17"/>
        <v/>
      </c>
    </row>
    <row r="364" spans="8:12" x14ac:dyDescent="0.25">
      <c r="H364" s="10" t="str">
        <f>IF(G364="","",VLOOKUP(G364,MEGHBELA!$A$2:$C$100,3,FALSE))</f>
        <v/>
      </c>
      <c r="I364" s="19"/>
      <c r="J364" s="22" t="str">
        <f t="shared" si="15"/>
        <v/>
      </c>
      <c r="K364" s="10" t="str">
        <f t="shared" ca="1" si="16"/>
        <v/>
      </c>
      <c r="L364" s="7" t="str">
        <f t="shared" ca="1" si="17"/>
        <v/>
      </c>
    </row>
    <row r="365" spans="8:12" x14ac:dyDescent="0.25">
      <c r="H365" s="10" t="str">
        <f>IF(G365="","",VLOOKUP(G365,MEGHBELA!$A$2:$C$100,3,FALSE))</f>
        <v/>
      </c>
      <c r="I365" s="18"/>
      <c r="J365" s="22" t="str">
        <f t="shared" si="15"/>
        <v/>
      </c>
      <c r="K365" s="10" t="str">
        <f t="shared" ca="1" si="16"/>
        <v/>
      </c>
      <c r="L365" s="7" t="str">
        <f t="shared" ca="1" si="17"/>
        <v/>
      </c>
    </row>
    <row r="366" spans="8:12" x14ac:dyDescent="0.25">
      <c r="H366" s="10" t="str">
        <f>IF(G366="","",VLOOKUP(G366,MEGHBELA!$A$2:$C$100,3,FALSE))</f>
        <v/>
      </c>
      <c r="I366" s="19"/>
      <c r="J366" s="22" t="str">
        <f t="shared" si="15"/>
        <v/>
      </c>
      <c r="K366" s="10" t="str">
        <f t="shared" ca="1" si="16"/>
        <v/>
      </c>
      <c r="L366" s="7" t="str">
        <f t="shared" ca="1" si="17"/>
        <v/>
      </c>
    </row>
    <row r="367" spans="8:12" x14ac:dyDescent="0.25">
      <c r="H367" s="10" t="str">
        <f>IF(G367="","",VLOOKUP(G367,MEGHBELA!$A$2:$C$100,3,FALSE))</f>
        <v/>
      </c>
      <c r="I367" s="18"/>
      <c r="J367" s="22" t="str">
        <f t="shared" si="15"/>
        <v/>
      </c>
      <c r="K367" s="10" t="str">
        <f t="shared" ca="1" si="16"/>
        <v/>
      </c>
      <c r="L367" s="7" t="str">
        <f t="shared" ca="1" si="17"/>
        <v/>
      </c>
    </row>
    <row r="368" spans="8:12" x14ac:dyDescent="0.25">
      <c r="H368" s="10" t="str">
        <f>IF(G368="","",VLOOKUP(G368,MEGHBELA!$A$2:$C$100,3,FALSE))</f>
        <v/>
      </c>
      <c r="I368" s="19"/>
      <c r="J368" s="22" t="str">
        <f t="shared" si="15"/>
        <v/>
      </c>
      <c r="K368" s="10" t="str">
        <f t="shared" ca="1" si="16"/>
        <v/>
      </c>
      <c r="L368" s="7" t="str">
        <f t="shared" ca="1" si="17"/>
        <v/>
      </c>
    </row>
    <row r="369" spans="8:12" x14ac:dyDescent="0.25">
      <c r="H369" s="10" t="str">
        <f>IF(G369="","",VLOOKUP(G369,MEGHBELA!$A$2:$C$100,3,FALSE))</f>
        <v/>
      </c>
      <c r="I369" s="18"/>
      <c r="J369" s="22" t="str">
        <f t="shared" si="15"/>
        <v/>
      </c>
      <c r="K369" s="10" t="str">
        <f t="shared" ca="1" si="16"/>
        <v/>
      </c>
      <c r="L369" s="7" t="str">
        <f t="shared" ca="1" si="17"/>
        <v/>
      </c>
    </row>
    <row r="370" spans="8:12" x14ac:dyDescent="0.25">
      <c r="H370" s="10" t="str">
        <f>IF(G370="","",VLOOKUP(G370,MEGHBELA!$A$2:$C$100,3,FALSE))</f>
        <v/>
      </c>
      <c r="I370" s="19"/>
      <c r="J370" s="22" t="str">
        <f t="shared" si="15"/>
        <v/>
      </c>
      <c r="K370" s="10" t="str">
        <f t="shared" ca="1" si="16"/>
        <v/>
      </c>
      <c r="L370" s="7" t="str">
        <f t="shared" ca="1" si="17"/>
        <v/>
      </c>
    </row>
    <row r="371" spans="8:12" x14ac:dyDescent="0.25">
      <c r="H371" s="10" t="str">
        <f>IF(G371="","",VLOOKUP(G371,MEGHBELA!$A$2:$C$100,3,FALSE))</f>
        <v/>
      </c>
      <c r="I371" s="18"/>
      <c r="J371" s="22" t="str">
        <f t="shared" si="15"/>
        <v/>
      </c>
      <c r="K371" s="10" t="str">
        <f t="shared" ca="1" si="16"/>
        <v/>
      </c>
      <c r="L371" s="7" t="str">
        <f t="shared" ca="1" si="17"/>
        <v/>
      </c>
    </row>
    <row r="372" spans="8:12" x14ac:dyDescent="0.25">
      <c r="H372" s="10" t="str">
        <f>IF(G372="","",VLOOKUP(G372,MEGHBELA!$A$2:$C$100,3,FALSE))</f>
        <v/>
      </c>
      <c r="I372" s="19"/>
      <c r="J372" s="22" t="str">
        <f t="shared" si="15"/>
        <v/>
      </c>
      <c r="K372" s="10" t="str">
        <f t="shared" ca="1" si="16"/>
        <v/>
      </c>
      <c r="L372" s="7" t="str">
        <f t="shared" ca="1" si="17"/>
        <v/>
      </c>
    </row>
    <row r="373" spans="8:12" x14ac:dyDescent="0.25">
      <c r="H373" s="10" t="str">
        <f>IF(G373="","",VLOOKUP(G373,MEGHBELA!$A$2:$C$100,3,FALSE))</f>
        <v/>
      </c>
      <c r="I373" s="18"/>
      <c r="J373" s="22" t="str">
        <f t="shared" si="15"/>
        <v/>
      </c>
      <c r="K373" s="10" t="str">
        <f t="shared" ca="1" si="16"/>
        <v/>
      </c>
      <c r="L373" s="7" t="str">
        <f t="shared" ca="1" si="17"/>
        <v/>
      </c>
    </row>
    <row r="374" spans="8:12" x14ac:dyDescent="0.25">
      <c r="H374" s="10" t="str">
        <f>IF(G374="","",VLOOKUP(G374,MEGHBELA!$A$2:$C$100,3,FALSE))</f>
        <v/>
      </c>
      <c r="I374" s="19"/>
      <c r="J374" s="22" t="str">
        <f t="shared" si="15"/>
        <v/>
      </c>
      <c r="K374" s="10" t="str">
        <f t="shared" ca="1" si="16"/>
        <v/>
      </c>
      <c r="L374" s="7" t="str">
        <f t="shared" ca="1" si="17"/>
        <v/>
      </c>
    </row>
    <row r="375" spans="8:12" x14ac:dyDescent="0.25">
      <c r="H375" s="10" t="str">
        <f>IF(G375="","",VLOOKUP(G375,MEGHBELA!$A$2:$C$100,3,FALSE))</f>
        <v/>
      </c>
      <c r="I375" s="18"/>
      <c r="J375" s="22" t="str">
        <f t="shared" si="15"/>
        <v/>
      </c>
      <c r="K375" s="10" t="str">
        <f t="shared" ca="1" si="16"/>
        <v/>
      </c>
      <c r="L375" s="7" t="str">
        <f t="shared" ca="1" si="17"/>
        <v/>
      </c>
    </row>
    <row r="376" spans="8:12" x14ac:dyDescent="0.25">
      <c r="H376" s="10" t="str">
        <f>IF(G376="","",VLOOKUP(G376,MEGHBELA!$A$2:$C$100,3,FALSE))</f>
        <v/>
      </c>
      <c r="I376" s="19"/>
      <c r="J376" s="22" t="str">
        <f t="shared" si="15"/>
        <v/>
      </c>
      <c r="K376" s="10" t="str">
        <f t="shared" ca="1" si="16"/>
        <v/>
      </c>
      <c r="L376" s="7" t="str">
        <f t="shared" ca="1" si="17"/>
        <v/>
      </c>
    </row>
    <row r="377" spans="8:12" x14ac:dyDescent="0.25">
      <c r="H377" s="10" t="str">
        <f>IF(G377="","",VLOOKUP(G377,MEGHBELA!$A$2:$C$100,3,FALSE))</f>
        <v/>
      </c>
      <c r="I377" s="18"/>
      <c r="J377" s="22" t="str">
        <f t="shared" si="15"/>
        <v/>
      </c>
      <c r="K377" s="10" t="str">
        <f t="shared" ca="1" si="16"/>
        <v/>
      </c>
      <c r="L377" s="7" t="str">
        <f t="shared" ca="1" si="17"/>
        <v/>
      </c>
    </row>
    <row r="378" spans="8:12" x14ac:dyDescent="0.25">
      <c r="H378" s="10" t="str">
        <f>IF(G378="","",VLOOKUP(G378,MEGHBELA!$A$2:$C$100,3,FALSE))</f>
        <v/>
      </c>
      <c r="I378" s="19"/>
      <c r="J378" s="22" t="str">
        <f t="shared" si="15"/>
        <v/>
      </c>
      <c r="K378" s="10" t="str">
        <f t="shared" ca="1" si="16"/>
        <v/>
      </c>
      <c r="L378" s="7" t="str">
        <f t="shared" ca="1" si="17"/>
        <v/>
      </c>
    </row>
    <row r="379" spans="8:12" x14ac:dyDescent="0.25">
      <c r="H379" s="10" t="str">
        <f>IF(G379="","",VLOOKUP(G379,MEGHBELA!$A$2:$C$100,3,FALSE))</f>
        <v/>
      </c>
      <c r="I379" s="18"/>
      <c r="J379" s="22" t="str">
        <f t="shared" si="15"/>
        <v/>
      </c>
      <c r="K379" s="10" t="str">
        <f t="shared" ca="1" si="16"/>
        <v/>
      </c>
      <c r="L379" s="7" t="str">
        <f t="shared" ca="1" si="17"/>
        <v/>
      </c>
    </row>
    <row r="380" spans="8:12" x14ac:dyDescent="0.25">
      <c r="H380" s="10" t="str">
        <f>IF(G380="","",VLOOKUP(G380,MEGHBELA!$A$2:$C$100,3,FALSE))</f>
        <v/>
      </c>
      <c r="I380" s="19"/>
      <c r="J380" s="22" t="str">
        <f t="shared" si="15"/>
        <v/>
      </c>
      <c r="K380" s="10" t="str">
        <f t="shared" ca="1" si="16"/>
        <v/>
      </c>
      <c r="L380" s="7" t="str">
        <f t="shared" ca="1" si="17"/>
        <v/>
      </c>
    </row>
    <row r="381" spans="8:12" x14ac:dyDescent="0.25">
      <c r="H381" s="10" t="str">
        <f>IF(G381="","",VLOOKUP(G381,MEGHBELA!$A$2:$C$100,3,FALSE))</f>
        <v/>
      </c>
      <c r="I381" s="18"/>
      <c r="J381" s="22" t="str">
        <f t="shared" si="15"/>
        <v/>
      </c>
      <c r="K381" s="10" t="str">
        <f t="shared" ca="1" si="16"/>
        <v/>
      </c>
      <c r="L381" s="7" t="str">
        <f t="shared" ca="1" si="17"/>
        <v/>
      </c>
    </row>
    <row r="382" spans="8:12" x14ac:dyDescent="0.25">
      <c r="H382" s="10" t="str">
        <f>IF(G382="","",VLOOKUP(G382,MEGHBELA!$A$2:$C$100,3,FALSE))</f>
        <v/>
      </c>
      <c r="I382" s="19"/>
      <c r="J382" s="22" t="str">
        <f t="shared" si="15"/>
        <v/>
      </c>
      <c r="K382" s="10" t="str">
        <f t="shared" ca="1" si="16"/>
        <v/>
      </c>
      <c r="L382" s="7" t="str">
        <f t="shared" ca="1" si="17"/>
        <v/>
      </c>
    </row>
    <row r="383" spans="8:12" x14ac:dyDescent="0.25">
      <c r="H383" s="10" t="str">
        <f>IF(G383="","",VLOOKUP(G383,MEGHBELA!$A$2:$C$100,3,FALSE))</f>
        <v/>
      </c>
      <c r="I383" s="18"/>
      <c r="J383" s="22" t="str">
        <f t="shared" si="15"/>
        <v/>
      </c>
      <c r="K383" s="10" t="str">
        <f t="shared" ca="1" si="16"/>
        <v/>
      </c>
      <c r="L383" s="7" t="str">
        <f t="shared" ca="1" si="17"/>
        <v/>
      </c>
    </row>
    <row r="384" spans="8:12" x14ac:dyDescent="0.25">
      <c r="H384" s="10" t="str">
        <f>IF(G384="","",VLOOKUP(G384,MEGHBELA!$A$2:$C$100,3,FALSE))</f>
        <v/>
      </c>
      <c r="I384" s="19"/>
      <c r="J384" s="22" t="str">
        <f t="shared" si="15"/>
        <v/>
      </c>
      <c r="K384" s="10" t="str">
        <f t="shared" ca="1" si="16"/>
        <v/>
      </c>
      <c r="L384" s="7" t="str">
        <f t="shared" ca="1" si="17"/>
        <v/>
      </c>
    </row>
    <row r="385" spans="8:12" x14ac:dyDescent="0.25">
      <c r="H385" s="10" t="str">
        <f>IF(G385="","",VLOOKUP(G385,MEGHBELA!$A$2:$C$100,3,FALSE))</f>
        <v/>
      </c>
      <c r="I385" s="18"/>
      <c r="J385" s="22" t="str">
        <f t="shared" si="15"/>
        <v/>
      </c>
      <c r="K385" s="10" t="str">
        <f t="shared" ca="1" si="16"/>
        <v/>
      </c>
      <c r="L385" s="7" t="str">
        <f t="shared" ca="1" si="17"/>
        <v/>
      </c>
    </row>
    <row r="386" spans="8:12" x14ac:dyDescent="0.25">
      <c r="H386" s="10" t="str">
        <f>IF(G386="","",VLOOKUP(G386,MEGHBELA!$A$2:$C$100,3,FALSE))</f>
        <v/>
      </c>
      <c r="I386" s="19"/>
      <c r="J386" s="22" t="str">
        <f t="shared" ref="J386:J449" si="18">IF(OR(I386="",H386=""),"",I386+H386)</f>
        <v/>
      </c>
      <c r="K386" s="10" t="str">
        <f t="shared" ref="K386:K449" ca="1" si="19">IF(J386="","",J386-TODAY())</f>
        <v/>
      </c>
      <c r="L386" s="7" t="str">
        <f t="shared" ref="L386:L449" ca="1" si="20">IF(K386="","",
IF(K386&lt;0,
HYPERLINK("https://web.whatsapp.com/send?phone=91"&amp;F386&amp;"&amp;text=Dear%20Customer,%20your%20internet%20plan%20expired%20on%20"&amp;TEXT(J386,"dd-mm-yyyy")&amp;".%20Your%20service%20is%20now%20stopped.%20Please%20renew%20immediately%20to%20restore%20service.%0A-----TRUESPEED%20BROADBAND","Send Stop Message"),
IF(K386&lt;=3,
HYPERLINK("https://web.whatsapp.com/send?phone=91"&amp;F386&amp;"&amp;text=Dear%20Customer,%20your%20internet%20plan%20will%20expire%20in%20"&amp;K386&amp;"%20days.%20Please%20renew%20before%20"&amp;TEXT(J386,"dd-mm-yyyy")&amp;".%0A-----TRUESPEED%20BROADBAND","Send Renewal Alert"),
"")))</f>
        <v/>
      </c>
    </row>
    <row r="387" spans="8:12" x14ac:dyDescent="0.25">
      <c r="H387" s="10" t="str">
        <f>IF(G387="","",VLOOKUP(G387,MEGHBELA!$A$2:$C$100,3,FALSE))</f>
        <v/>
      </c>
      <c r="I387" s="18"/>
      <c r="J387" s="22" t="str">
        <f t="shared" si="18"/>
        <v/>
      </c>
      <c r="K387" s="10" t="str">
        <f t="shared" ca="1" si="19"/>
        <v/>
      </c>
      <c r="L387" s="7" t="str">
        <f t="shared" ca="1" si="20"/>
        <v/>
      </c>
    </row>
    <row r="388" spans="8:12" x14ac:dyDescent="0.25">
      <c r="H388" s="10" t="str">
        <f>IF(G388="","",VLOOKUP(G388,MEGHBELA!$A$2:$C$100,3,FALSE))</f>
        <v/>
      </c>
      <c r="I388" s="19"/>
      <c r="J388" s="22" t="str">
        <f t="shared" si="18"/>
        <v/>
      </c>
      <c r="K388" s="10" t="str">
        <f t="shared" ca="1" si="19"/>
        <v/>
      </c>
      <c r="L388" s="7" t="str">
        <f t="shared" ca="1" si="20"/>
        <v/>
      </c>
    </row>
    <row r="389" spans="8:12" x14ac:dyDescent="0.25">
      <c r="H389" s="10" t="str">
        <f>IF(G389="","",VLOOKUP(G389,MEGHBELA!$A$2:$C$100,3,FALSE))</f>
        <v/>
      </c>
      <c r="I389" s="18"/>
      <c r="J389" s="22" t="str">
        <f t="shared" si="18"/>
        <v/>
      </c>
      <c r="K389" s="10" t="str">
        <f t="shared" ca="1" si="19"/>
        <v/>
      </c>
      <c r="L389" s="7" t="str">
        <f t="shared" ca="1" si="20"/>
        <v/>
      </c>
    </row>
    <row r="390" spans="8:12" x14ac:dyDescent="0.25">
      <c r="H390" s="10" t="str">
        <f>IF(G390="","",VLOOKUP(G390,MEGHBELA!$A$2:$C$100,3,FALSE))</f>
        <v/>
      </c>
      <c r="I390" s="19"/>
      <c r="J390" s="22" t="str">
        <f t="shared" si="18"/>
        <v/>
      </c>
      <c r="K390" s="10" t="str">
        <f t="shared" ca="1" si="19"/>
        <v/>
      </c>
      <c r="L390" s="7" t="str">
        <f t="shared" ca="1" si="20"/>
        <v/>
      </c>
    </row>
    <row r="391" spans="8:12" x14ac:dyDescent="0.25">
      <c r="H391" s="10" t="str">
        <f>IF(G391="","",VLOOKUP(G391,MEGHBELA!$A$2:$C$100,3,FALSE))</f>
        <v/>
      </c>
      <c r="I391" s="18"/>
      <c r="J391" s="22" t="str">
        <f t="shared" si="18"/>
        <v/>
      </c>
      <c r="K391" s="10" t="str">
        <f t="shared" ca="1" si="19"/>
        <v/>
      </c>
      <c r="L391" s="7" t="str">
        <f t="shared" ca="1" si="20"/>
        <v/>
      </c>
    </row>
    <row r="392" spans="8:12" x14ac:dyDescent="0.25">
      <c r="H392" s="10" t="str">
        <f>IF(G392="","",VLOOKUP(G392,MEGHBELA!$A$2:$C$100,3,FALSE))</f>
        <v/>
      </c>
      <c r="I392" s="19"/>
      <c r="J392" s="22" t="str">
        <f t="shared" si="18"/>
        <v/>
      </c>
      <c r="K392" s="10" t="str">
        <f t="shared" ca="1" si="19"/>
        <v/>
      </c>
      <c r="L392" s="7" t="str">
        <f t="shared" ca="1" si="20"/>
        <v/>
      </c>
    </row>
    <row r="393" spans="8:12" x14ac:dyDescent="0.25">
      <c r="H393" s="10" t="str">
        <f>IF(G393="","",VLOOKUP(G393,MEGHBELA!$A$2:$C$100,3,FALSE))</f>
        <v/>
      </c>
      <c r="I393" s="18"/>
      <c r="J393" s="22" t="str">
        <f t="shared" si="18"/>
        <v/>
      </c>
      <c r="K393" s="10" t="str">
        <f t="shared" ca="1" si="19"/>
        <v/>
      </c>
      <c r="L393" s="7" t="str">
        <f t="shared" ca="1" si="20"/>
        <v/>
      </c>
    </row>
    <row r="394" spans="8:12" x14ac:dyDescent="0.25">
      <c r="H394" s="10" t="str">
        <f>IF(G394="","",VLOOKUP(G394,MEGHBELA!$A$2:$C$100,3,FALSE))</f>
        <v/>
      </c>
      <c r="I394" s="19"/>
      <c r="J394" s="22" t="str">
        <f t="shared" si="18"/>
        <v/>
      </c>
      <c r="K394" s="10" t="str">
        <f t="shared" ca="1" si="19"/>
        <v/>
      </c>
      <c r="L394" s="7" t="str">
        <f t="shared" ca="1" si="20"/>
        <v/>
      </c>
    </row>
    <row r="395" spans="8:12" x14ac:dyDescent="0.25">
      <c r="H395" s="10" t="str">
        <f>IF(G395="","",VLOOKUP(G395,MEGHBELA!$A$2:$C$100,3,FALSE))</f>
        <v/>
      </c>
      <c r="I395" s="18"/>
      <c r="J395" s="22" t="str">
        <f t="shared" si="18"/>
        <v/>
      </c>
      <c r="K395" s="10" t="str">
        <f t="shared" ca="1" si="19"/>
        <v/>
      </c>
      <c r="L395" s="7" t="str">
        <f t="shared" ca="1" si="20"/>
        <v/>
      </c>
    </row>
    <row r="396" spans="8:12" x14ac:dyDescent="0.25">
      <c r="H396" s="10" t="str">
        <f>IF(G396="","",VLOOKUP(G396,MEGHBELA!$A$2:$C$100,3,FALSE))</f>
        <v/>
      </c>
      <c r="I396" s="19"/>
      <c r="J396" s="22" t="str">
        <f t="shared" si="18"/>
        <v/>
      </c>
      <c r="K396" s="10" t="str">
        <f t="shared" ca="1" si="19"/>
        <v/>
      </c>
      <c r="L396" s="7" t="str">
        <f t="shared" ca="1" si="20"/>
        <v/>
      </c>
    </row>
    <row r="397" spans="8:12" x14ac:dyDescent="0.25">
      <c r="H397" s="10" t="str">
        <f>IF(G397="","",VLOOKUP(G397,MEGHBELA!$A$2:$C$100,3,FALSE))</f>
        <v/>
      </c>
      <c r="I397" s="18"/>
      <c r="J397" s="22" t="str">
        <f t="shared" si="18"/>
        <v/>
      </c>
      <c r="K397" s="10" t="str">
        <f t="shared" ca="1" si="19"/>
        <v/>
      </c>
      <c r="L397" s="7" t="str">
        <f t="shared" ca="1" si="20"/>
        <v/>
      </c>
    </row>
    <row r="398" spans="8:12" x14ac:dyDescent="0.25">
      <c r="H398" s="10" t="str">
        <f>IF(G398="","",VLOOKUP(G398,MEGHBELA!$A$2:$C$100,3,FALSE))</f>
        <v/>
      </c>
      <c r="I398" s="19"/>
      <c r="J398" s="22" t="str">
        <f t="shared" si="18"/>
        <v/>
      </c>
      <c r="K398" s="10" t="str">
        <f t="shared" ca="1" si="19"/>
        <v/>
      </c>
      <c r="L398" s="7" t="str">
        <f t="shared" ca="1" si="20"/>
        <v/>
      </c>
    </row>
    <row r="399" spans="8:12" x14ac:dyDescent="0.25">
      <c r="H399" s="10" t="str">
        <f>IF(G399="","",VLOOKUP(G399,MEGHBELA!$A$2:$C$100,3,FALSE))</f>
        <v/>
      </c>
      <c r="I399" s="18"/>
      <c r="J399" s="22" t="str">
        <f t="shared" si="18"/>
        <v/>
      </c>
      <c r="K399" s="10" t="str">
        <f t="shared" ca="1" si="19"/>
        <v/>
      </c>
      <c r="L399" s="7" t="str">
        <f t="shared" ca="1" si="20"/>
        <v/>
      </c>
    </row>
    <row r="400" spans="8:12" x14ac:dyDescent="0.25">
      <c r="H400" s="10" t="str">
        <f>IF(G400="","",VLOOKUP(G400,MEGHBELA!$A$2:$C$100,3,FALSE))</f>
        <v/>
      </c>
      <c r="I400" s="19"/>
      <c r="J400" s="22" t="str">
        <f t="shared" si="18"/>
        <v/>
      </c>
      <c r="K400" s="10" t="str">
        <f t="shared" ca="1" si="19"/>
        <v/>
      </c>
      <c r="L400" s="7" t="str">
        <f t="shared" ca="1" si="20"/>
        <v/>
      </c>
    </row>
    <row r="401" spans="8:12" x14ac:dyDescent="0.25">
      <c r="H401" s="10" t="str">
        <f>IF(G401="","",VLOOKUP(G401,MEGHBELA!$A$2:$C$100,3,FALSE))</f>
        <v/>
      </c>
      <c r="I401" s="18"/>
      <c r="J401" s="22" t="str">
        <f t="shared" si="18"/>
        <v/>
      </c>
      <c r="K401" s="10" t="str">
        <f t="shared" ca="1" si="19"/>
        <v/>
      </c>
      <c r="L401" s="7" t="str">
        <f t="shared" ca="1" si="20"/>
        <v/>
      </c>
    </row>
    <row r="402" spans="8:12" x14ac:dyDescent="0.25">
      <c r="H402" s="10" t="str">
        <f>IF(G402="","",VLOOKUP(G402,MEGHBELA!$A$2:$C$100,3,FALSE))</f>
        <v/>
      </c>
      <c r="I402" s="19"/>
      <c r="J402" s="22" t="str">
        <f t="shared" si="18"/>
        <v/>
      </c>
      <c r="K402" s="10" t="str">
        <f t="shared" ca="1" si="19"/>
        <v/>
      </c>
      <c r="L402" s="7" t="str">
        <f t="shared" ca="1" si="20"/>
        <v/>
      </c>
    </row>
    <row r="403" spans="8:12" x14ac:dyDescent="0.25">
      <c r="H403" s="10" t="str">
        <f>IF(G403="","",VLOOKUP(G403,MEGHBELA!$A$2:$C$100,3,FALSE))</f>
        <v/>
      </c>
      <c r="I403" s="18"/>
      <c r="J403" s="22" t="str">
        <f t="shared" si="18"/>
        <v/>
      </c>
      <c r="K403" s="10" t="str">
        <f t="shared" ca="1" si="19"/>
        <v/>
      </c>
      <c r="L403" s="7" t="str">
        <f t="shared" ca="1" si="20"/>
        <v/>
      </c>
    </row>
    <row r="404" spans="8:12" x14ac:dyDescent="0.25">
      <c r="H404" s="10" t="str">
        <f>IF(G404="","",VLOOKUP(G404,MEGHBELA!$A$2:$C$100,3,FALSE))</f>
        <v/>
      </c>
      <c r="I404" s="19"/>
      <c r="J404" s="22" t="str">
        <f t="shared" si="18"/>
        <v/>
      </c>
      <c r="K404" s="10" t="str">
        <f t="shared" ca="1" si="19"/>
        <v/>
      </c>
      <c r="L404" s="7" t="str">
        <f t="shared" ca="1" si="20"/>
        <v/>
      </c>
    </row>
    <row r="405" spans="8:12" x14ac:dyDescent="0.25">
      <c r="H405" s="10" t="str">
        <f>IF(G405="","",VLOOKUP(G405,MEGHBELA!$A$2:$C$100,3,FALSE))</f>
        <v/>
      </c>
      <c r="I405" s="18"/>
      <c r="J405" s="22" t="str">
        <f t="shared" si="18"/>
        <v/>
      </c>
      <c r="K405" s="10" t="str">
        <f t="shared" ca="1" si="19"/>
        <v/>
      </c>
      <c r="L405" s="7" t="str">
        <f t="shared" ca="1" si="20"/>
        <v/>
      </c>
    </row>
    <row r="406" spans="8:12" x14ac:dyDescent="0.25">
      <c r="H406" s="10" t="str">
        <f>IF(G406="","",VLOOKUP(G406,MEGHBELA!$A$2:$C$100,3,FALSE))</f>
        <v/>
      </c>
      <c r="I406" s="19"/>
      <c r="J406" s="22" t="str">
        <f t="shared" si="18"/>
        <v/>
      </c>
      <c r="K406" s="10" t="str">
        <f t="shared" ca="1" si="19"/>
        <v/>
      </c>
      <c r="L406" s="7" t="str">
        <f t="shared" ca="1" si="20"/>
        <v/>
      </c>
    </row>
    <row r="407" spans="8:12" x14ac:dyDescent="0.25">
      <c r="H407" s="10" t="str">
        <f>IF(G407="","",VLOOKUP(G407,MEGHBELA!$A$2:$C$100,3,FALSE))</f>
        <v/>
      </c>
      <c r="I407" s="18"/>
      <c r="J407" s="22" t="str">
        <f t="shared" si="18"/>
        <v/>
      </c>
      <c r="K407" s="10" t="str">
        <f t="shared" ca="1" si="19"/>
        <v/>
      </c>
      <c r="L407" s="7" t="str">
        <f t="shared" ca="1" si="20"/>
        <v/>
      </c>
    </row>
    <row r="408" spans="8:12" x14ac:dyDescent="0.25">
      <c r="H408" s="10" t="str">
        <f>IF(G408="","",VLOOKUP(G408,MEGHBELA!$A$2:$C$100,3,FALSE))</f>
        <v/>
      </c>
      <c r="I408" s="19"/>
      <c r="J408" s="22" t="str">
        <f t="shared" si="18"/>
        <v/>
      </c>
      <c r="K408" s="10" t="str">
        <f t="shared" ca="1" si="19"/>
        <v/>
      </c>
      <c r="L408" s="7" t="str">
        <f t="shared" ca="1" si="20"/>
        <v/>
      </c>
    </row>
    <row r="409" spans="8:12" x14ac:dyDescent="0.25">
      <c r="H409" s="10" t="str">
        <f>IF(G409="","",VLOOKUP(G409,MEGHBELA!$A$2:$C$100,3,FALSE))</f>
        <v/>
      </c>
      <c r="I409" s="18"/>
      <c r="J409" s="22" t="str">
        <f t="shared" si="18"/>
        <v/>
      </c>
      <c r="K409" s="10" t="str">
        <f t="shared" ca="1" si="19"/>
        <v/>
      </c>
      <c r="L409" s="7" t="str">
        <f t="shared" ca="1" si="20"/>
        <v/>
      </c>
    </row>
    <row r="410" spans="8:12" x14ac:dyDescent="0.25">
      <c r="H410" s="10" t="str">
        <f>IF(G410="","",VLOOKUP(G410,MEGHBELA!$A$2:$C$100,3,FALSE))</f>
        <v/>
      </c>
      <c r="I410" s="19"/>
      <c r="J410" s="22" t="str">
        <f t="shared" si="18"/>
        <v/>
      </c>
      <c r="K410" s="10" t="str">
        <f t="shared" ca="1" si="19"/>
        <v/>
      </c>
      <c r="L410" s="7" t="str">
        <f t="shared" ca="1" si="20"/>
        <v/>
      </c>
    </row>
    <row r="411" spans="8:12" x14ac:dyDescent="0.25">
      <c r="H411" s="10" t="str">
        <f>IF(G411="","",VLOOKUP(G411,MEGHBELA!$A$2:$C$100,3,FALSE))</f>
        <v/>
      </c>
      <c r="I411" s="18"/>
      <c r="J411" s="22" t="str">
        <f t="shared" si="18"/>
        <v/>
      </c>
      <c r="K411" s="10" t="str">
        <f t="shared" ca="1" si="19"/>
        <v/>
      </c>
      <c r="L411" s="7" t="str">
        <f t="shared" ca="1" si="20"/>
        <v/>
      </c>
    </row>
    <row r="412" spans="8:12" x14ac:dyDescent="0.25">
      <c r="H412" s="10" t="str">
        <f>IF(G412="","",VLOOKUP(G412,MEGHBELA!$A$2:$C$100,3,FALSE))</f>
        <v/>
      </c>
      <c r="I412" s="19"/>
      <c r="J412" s="22" t="str">
        <f t="shared" si="18"/>
        <v/>
      </c>
      <c r="K412" s="10" t="str">
        <f t="shared" ca="1" si="19"/>
        <v/>
      </c>
      <c r="L412" s="7" t="str">
        <f t="shared" ca="1" si="20"/>
        <v/>
      </c>
    </row>
    <row r="413" spans="8:12" x14ac:dyDescent="0.25">
      <c r="H413" s="10" t="str">
        <f>IF(G413="","",VLOOKUP(G413,MEGHBELA!$A$2:$C$100,3,FALSE))</f>
        <v/>
      </c>
      <c r="I413" s="18"/>
      <c r="J413" s="22" t="str">
        <f t="shared" si="18"/>
        <v/>
      </c>
      <c r="K413" s="10" t="str">
        <f t="shared" ca="1" si="19"/>
        <v/>
      </c>
      <c r="L413" s="7" t="str">
        <f t="shared" ca="1" si="20"/>
        <v/>
      </c>
    </row>
    <row r="414" spans="8:12" x14ac:dyDescent="0.25">
      <c r="H414" s="10" t="str">
        <f>IF(G414="","",VLOOKUP(G414,MEGHBELA!$A$2:$C$100,3,FALSE))</f>
        <v/>
      </c>
      <c r="I414" s="19"/>
      <c r="J414" s="22" t="str">
        <f t="shared" si="18"/>
        <v/>
      </c>
      <c r="K414" s="10" t="str">
        <f t="shared" ca="1" si="19"/>
        <v/>
      </c>
      <c r="L414" s="7" t="str">
        <f t="shared" ca="1" si="20"/>
        <v/>
      </c>
    </row>
    <row r="415" spans="8:12" x14ac:dyDescent="0.25">
      <c r="H415" s="10" t="str">
        <f>IF(G415="","",VLOOKUP(G415,MEGHBELA!$A$2:$C$100,3,FALSE))</f>
        <v/>
      </c>
      <c r="I415" s="18"/>
      <c r="J415" s="22" t="str">
        <f t="shared" si="18"/>
        <v/>
      </c>
      <c r="K415" s="10" t="str">
        <f t="shared" ca="1" si="19"/>
        <v/>
      </c>
      <c r="L415" s="7" t="str">
        <f t="shared" ca="1" si="20"/>
        <v/>
      </c>
    </row>
    <row r="416" spans="8:12" x14ac:dyDescent="0.25">
      <c r="H416" s="10" t="str">
        <f>IF(G416="","",VLOOKUP(G416,MEGHBELA!$A$2:$C$100,3,FALSE))</f>
        <v/>
      </c>
      <c r="I416" s="19"/>
      <c r="J416" s="22" t="str">
        <f t="shared" si="18"/>
        <v/>
      </c>
      <c r="K416" s="10" t="str">
        <f t="shared" ca="1" si="19"/>
        <v/>
      </c>
      <c r="L416" s="7" t="str">
        <f t="shared" ca="1" si="20"/>
        <v/>
      </c>
    </row>
    <row r="417" spans="8:12" x14ac:dyDescent="0.25">
      <c r="H417" s="10" t="str">
        <f>IF(G417="","",VLOOKUP(G417,MEGHBELA!$A$2:$C$100,3,FALSE))</f>
        <v/>
      </c>
      <c r="I417" s="18"/>
      <c r="J417" s="22" t="str">
        <f t="shared" si="18"/>
        <v/>
      </c>
      <c r="K417" s="10" t="str">
        <f t="shared" ca="1" si="19"/>
        <v/>
      </c>
      <c r="L417" s="7" t="str">
        <f t="shared" ca="1" si="20"/>
        <v/>
      </c>
    </row>
    <row r="418" spans="8:12" x14ac:dyDescent="0.25">
      <c r="H418" s="10" t="str">
        <f>IF(G418="","",VLOOKUP(G418,MEGHBELA!$A$2:$C$100,3,FALSE))</f>
        <v/>
      </c>
      <c r="I418" s="19"/>
      <c r="J418" s="22" t="str">
        <f t="shared" si="18"/>
        <v/>
      </c>
      <c r="K418" s="10" t="str">
        <f t="shared" ca="1" si="19"/>
        <v/>
      </c>
      <c r="L418" s="7" t="str">
        <f t="shared" ca="1" si="20"/>
        <v/>
      </c>
    </row>
    <row r="419" spans="8:12" x14ac:dyDescent="0.25">
      <c r="H419" s="10" t="str">
        <f>IF(G419="","",VLOOKUP(G419,MEGHBELA!$A$2:$C$100,3,FALSE))</f>
        <v/>
      </c>
      <c r="I419" s="18"/>
      <c r="J419" s="22" t="str">
        <f t="shared" si="18"/>
        <v/>
      </c>
      <c r="K419" s="10" t="str">
        <f t="shared" ca="1" si="19"/>
        <v/>
      </c>
      <c r="L419" s="7" t="str">
        <f t="shared" ca="1" si="20"/>
        <v/>
      </c>
    </row>
    <row r="420" spans="8:12" x14ac:dyDescent="0.25">
      <c r="H420" s="10" t="str">
        <f>IF(G420="","",VLOOKUP(G420,MEGHBELA!$A$2:$C$100,3,FALSE))</f>
        <v/>
      </c>
      <c r="I420" s="19"/>
      <c r="J420" s="22" t="str">
        <f t="shared" si="18"/>
        <v/>
      </c>
      <c r="K420" s="10" t="str">
        <f t="shared" ca="1" si="19"/>
        <v/>
      </c>
      <c r="L420" s="7" t="str">
        <f t="shared" ca="1" si="20"/>
        <v/>
      </c>
    </row>
    <row r="421" spans="8:12" x14ac:dyDescent="0.25">
      <c r="H421" s="10" t="str">
        <f>IF(G421="","",VLOOKUP(G421,MEGHBELA!$A$2:$C$100,3,FALSE))</f>
        <v/>
      </c>
      <c r="I421" s="18"/>
      <c r="J421" s="22" t="str">
        <f t="shared" si="18"/>
        <v/>
      </c>
      <c r="K421" s="10" t="str">
        <f t="shared" ca="1" si="19"/>
        <v/>
      </c>
      <c r="L421" s="7" t="str">
        <f t="shared" ca="1" si="20"/>
        <v/>
      </c>
    </row>
    <row r="422" spans="8:12" x14ac:dyDescent="0.25">
      <c r="H422" s="10" t="str">
        <f>IF(G422="","",VLOOKUP(G422,MEGHBELA!$A$2:$C$100,3,FALSE))</f>
        <v/>
      </c>
      <c r="I422" s="19"/>
      <c r="J422" s="22" t="str">
        <f t="shared" si="18"/>
        <v/>
      </c>
      <c r="K422" s="10" t="str">
        <f t="shared" ca="1" si="19"/>
        <v/>
      </c>
      <c r="L422" s="7" t="str">
        <f t="shared" ca="1" si="20"/>
        <v/>
      </c>
    </row>
    <row r="423" spans="8:12" x14ac:dyDescent="0.25">
      <c r="H423" s="10" t="str">
        <f>IF(G423="","",VLOOKUP(G423,MEGHBELA!$A$2:$C$100,3,FALSE))</f>
        <v/>
      </c>
      <c r="I423" s="18"/>
      <c r="J423" s="22" t="str">
        <f t="shared" si="18"/>
        <v/>
      </c>
      <c r="K423" s="10" t="str">
        <f t="shared" ca="1" si="19"/>
        <v/>
      </c>
      <c r="L423" s="7" t="str">
        <f t="shared" ca="1" si="20"/>
        <v/>
      </c>
    </row>
    <row r="424" spans="8:12" x14ac:dyDescent="0.25">
      <c r="H424" s="10" t="str">
        <f>IF(G424="","",VLOOKUP(G424,MEGHBELA!$A$2:$C$100,3,FALSE))</f>
        <v/>
      </c>
      <c r="I424" s="19"/>
      <c r="J424" s="22" t="str">
        <f t="shared" si="18"/>
        <v/>
      </c>
      <c r="K424" s="10" t="str">
        <f t="shared" ca="1" si="19"/>
        <v/>
      </c>
      <c r="L424" s="7" t="str">
        <f t="shared" ca="1" si="20"/>
        <v/>
      </c>
    </row>
    <row r="425" spans="8:12" x14ac:dyDescent="0.25">
      <c r="H425" s="10" t="str">
        <f>IF(G425="","",VLOOKUP(G425,MEGHBELA!$A$2:$C$100,3,FALSE))</f>
        <v/>
      </c>
      <c r="I425" s="18"/>
      <c r="J425" s="22" t="str">
        <f t="shared" si="18"/>
        <v/>
      </c>
      <c r="K425" s="10" t="str">
        <f t="shared" ca="1" si="19"/>
        <v/>
      </c>
      <c r="L425" s="7" t="str">
        <f t="shared" ca="1" si="20"/>
        <v/>
      </c>
    </row>
    <row r="426" spans="8:12" x14ac:dyDescent="0.25">
      <c r="H426" s="10" t="str">
        <f>IF(G426="","",VLOOKUP(G426,MEGHBELA!$A$2:$C$100,3,FALSE))</f>
        <v/>
      </c>
      <c r="I426" s="19"/>
      <c r="J426" s="22" t="str">
        <f t="shared" si="18"/>
        <v/>
      </c>
      <c r="K426" s="10" t="str">
        <f t="shared" ca="1" si="19"/>
        <v/>
      </c>
      <c r="L426" s="7" t="str">
        <f t="shared" ca="1" si="20"/>
        <v/>
      </c>
    </row>
    <row r="427" spans="8:12" x14ac:dyDescent="0.25">
      <c r="H427" s="10" t="str">
        <f>IF(G427="","",VLOOKUP(G427,MEGHBELA!$A$2:$C$100,3,FALSE))</f>
        <v/>
      </c>
      <c r="I427" s="18"/>
      <c r="J427" s="22" t="str">
        <f t="shared" si="18"/>
        <v/>
      </c>
      <c r="K427" s="10" t="str">
        <f t="shared" ca="1" si="19"/>
        <v/>
      </c>
      <c r="L427" s="7" t="str">
        <f t="shared" ca="1" si="20"/>
        <v/>
      </c>
    </row>
    <row r="428" spans="8:12" x14ac:dyDescent="0.25">
      <c r="H428" s="10" t="str">
        <f>IF(G428="","",VLOOKUP(G428,MEGHBELA!$A$2:$C$100,3,FALSE))</f>
        <v/>
      </c>
      <c r="I428" s="19"/>
      <c r="J428" s="22" t="str">
        <f t="shared" si="18"/>
        <v/>
      </c>
      <c r="K428" s="10" t="str">
        <f t="shared" ca="1" si="19"/>
        <v/>
      </c>
      <c r="L428" s="7" t="str">
        <f t="shared" ca="1" si="20"/>
        <v/>
      </c>
    </row>
    <row r="429" spans="8:12" x14ac:dyDescent="0.25">
      <c r="H429" s="10" t="str">
        <f>IF(G429="","",VLOOKUP(G429,MEGHBELA!$A$2:$C$100,3,FALSE))</f>
        <v/>
      </c>
      <c r="I429" s="18"/>
      <c r="J429" s="22" t="str">
        <f t="shared" si="18"/>
        <v/>
      </c>
      <c r="K429" s="10" t="str">
        <f t="shared" ca="1" si="19"/>
        <v/>
      </c>
      <c r="L429" s="7" t="str">
        <f t="shared" ca="1" si="20"/>
        <v/>
      </c>
    </row>
    <row r="430" spans="8:12" x14ac:dyDescent="0.25">
      <c r="H430" s="10" t="str">
        <f>IF(G430="","",VLOOKUP(G430,MEGHBELA!$A$2:$C$100,3,FALSE))</f>
        <v/>
      </c>
      <c r="I430" s="19"/>
      <c r="J430" s="22" t="str">
        <f t="shared" si="18"/>
        <v/>
      </c>
      <c r="K430" s="10" t="str">
        <f t="shared" ca="1" si="19"/>
        <v/>
      </c>
      <c r="L430" s="7" t="str">
        <f t="shared" ca="1" si="20"/>
        <v/>
      </c>
    </row>
    <row r="431" spans="8:12" x14ac:dyDescent="0.25">
      <c r="H431" s="10" t="str">
        <f>IF(G431="","",VLOOKUP(G431,MEGHBELA!$A$2:$C$100,3,FALSE))</f>
        <v/>
      </c>
      <c r="I431" s="18"/>
      <c r="J431" s="22" t="str">
        <f t="shared" si="18"/>
        <v/>
      </c>
      <c r="K431" s="10" t="str">
        <f t="shared" ca="1" si="19"/>
        <v/>
      </c>
      <c r="L431" s="7" t="str">
        <f t="shared" ca="1" si="20"/>
        <v/>
      </c>
    </row>
    <row r="432" spans="8:12" x14ac:dyDescent="0.25">
      <c r="H432" s="10" t="str">
        <f>IF(G432="","",VLOOKUP(G432,MEGHBELA!$A$2:$C$100,3,FALSE))</f>
        <v/>
      </c>
      <c r="I432" s="19"/>
      <c r="J432" s="22" t="str">
        <f t="shared" si="18"/>
        <v/>
      </c>
      <c r="K432" s="10" t="str">
        <f t="shared" ca="1" si="19"/>
        <v/>
      </c>
      <c r="L432" s="7" t="str">
        <f t="shared" ca="1" si="20"/>
        <v/>
      </c>
    </row>
    <row r="433" spans="8:12" x14ac:dyDescent="0.25">
      <c r="H433" s="10" t="str">
        <f>IF(G433="","",VLOOKUP(G433,MEGHBELA!$A$2:$C$100,3,FALSE))</f>
        <v/>
      </c>
      <c r="I433" s="18"/>
      <c r="J433" s="22" t="str">
        <f t="shared" si="18"/>
        <v/>
      </c>
      <c r="K433" s="10" t="str">
        <f t="shared" ca="1" si="19"/>
        <v/>
      </c>
      <c r="L433" s="7" t="str">
        <f t="shared" ca="1" si="20"/>
        <v/>
      </c>
    </row>
    <row r="434" spans="8:12" x14ac:dyDescent="0.25">
      <c r="H434" s="10" t="str">
        <f>IF(G434="","",VLOOKUP(G434,MEGHBELA!$A$2:$C$100,3,FALSE))</f>
        <v/>
      </c>
      <c r="I434" s="19"/>
      <c r="J434" s="22" t="str">
        <f t="shared" si="18"/>
        <v/>
      </c>
      <c r="K434" s="10" t="str">
        <f t="shared" ca="1" si="19"/>
        <v/>
      </c>
      <c r="L434" s="7" t="str">
        <f t="shared" ca="1" si="20"/>
        <v/>
      </c>
    </row>
    <row r="435" spans="8:12" x14ac:dyDescent="0.25">
      <c r="H435" s="10" t="str">
        <f>IF(G435="","",VLOOKUP(G435,MEGHBELA!$A$2:$C$100,3,FALSE))</f>
        <v/>
      </c>
      <c r="I435" s="18"/>
      <c r="J435" s="22" t="str">
        <f t="shared" si="18"/>
        <v/>
      </c>
      <c r="K435" s="10" t="str">
        <f t="shared" ca="1" si="19"/>
        <v/>
      </c>
      <c r="L435" s="7" t="str">
        <f t="shared" ca="1" si="20"/>
        <v/>
      </c>
    </row>
    <row r="436" spans="8:12" x14ac:dyDescent="0.25">
      <c r="H436" s="10" t="str">
        <f>IF(G436="","",VLOOKUP(G436,MEGHBELA!$A$2:$C$100,3,FALSE))</f>
        <v/>
      </c>
      <c r="I436" s="19"/>
      <c r="J436" s="22" t="str">
        <f t="shared" si="18"/>
        <v/>
      </c>
      <c r="K436" s="10" t="str">
        <f t="shared" ca="1" si="19"/>
        <v/>
      </c>
      <c r="L436" s="7" t="str">
        <f t="shared" ca="1" si="20"/>
        <v/>
      </c>
    </row>
    <row r="437" spans="8:12" x14ac:dyDescent="0.25">
      <c r="H437" s="10" t="str">
        <f>IF(G437="","",VLOOKUP(G437,MEGHBELA!$A$2:$C$100,3,FALSE))</f>
        <v/>
      </c>
      <c r="I437" s="18"/>
      <c r="J437" s="22" t="str">
        <f t="shared" si="18"/>
        <v/>
      </c>
      <c r="K437" s="10" t="str">
        <f t="shared" ca="1" si="19"/>
        <v/>
      </c>
      <c r="L437" s="7" t="str">
        <f t="shared" ca="1" si="20"/>
        <v/>
      </c>
    </row>
    <row r="438" spans="8:12" x14ac:dyDescent="0.25">
      <c r="H438" s="10" t="str">
        <f>IF(G438="","",VLOOKUP(G438,MEGHBELA!$A$2:$C$100,3,FALSE))</f>
        <v/>
      </c>
      <c r="I438" s="19"/>
      <c r="J438" s="22" t="str">
        <f t="shared" si="18"/>
        <v/>
      </c>
      <c r="K438" s="10" t="str">
        <f t="shared" ca="1" si="19"/>
        <v/>
      </c>
      <c r="L438" s="7" t="str">
        <f t="shared" ca="1" si="20"/>
        <v/>
      </c>
    </row>
    <row r="439" spans="8:12" x14ac:dyDescent="0.25">
      <c r="H439" s="10" t="str">
        <f>IF(G439="","",VLOOKUP(G439,MEGHBELA!$A$2:$C$100,3,FALSE))</f>
        <v/>
      </c>
      <c r="I439" s="18"/>
      <c r="J439" s="22" t="str">
        <f t="shared" si="18"/>
        <v/>
      </c>
      <c r="K439" s="10" t="str">
        <f t="shared" ca="1" si="19"/>
        <v/>
      </c>
      <c r="L439" s="7" t="str">
        <f t="shared" ca="1" si="20"/>
        <v/>
      </c>
    </row>
    <row r="440" spans="8:12" x14ac:dyDescent="0.25">
      <c r="H440" s="10" t="str">
        <f>IF(G440="","",VLOOKUP(G440,MEGHBELA!$A$2:$C$100,3,FALSE))</f>
        <v/>
      </c>
      <c r="I440" s="19"/>
      <c r="J440" s="22" t="str">
        <f t="shared" si="18"/>
        <v/>
      </c>
      <c r="K440" s="10" t="str">
        <f t="shared" ca="1" si="19"/>
        <v/>
      </c>
      <c r="L440" s="7" t="str">
        <f t="shared" ca="1" si="20"/>
        <v/>
      </c>
    </row>
    <row r="441" spans="8:12" x14ac:dyDescent="0.25">
      <c r="H441" s="10" t="str">
        <f>IF(G441="","",VLOOKUP(G441,MEGHBELA!$A$2:$C$100,3,FALSE))</f>
        <v/>
      </c>
      <c r="I441" s="18"/>
      <c r="J441" s="22" t="str">
        <f t="shared" si="18"/>
        <v/>
      </c>
      <c r="K441" s="10" t="str">
        <f t="shared" ca="1" si="19"/>
        <v/>
      </c>
      <c r="L441" s="7" t="str">
        <f t="shared" ca="1" si="20"/>
        <v/>
      </c>
    </row>
    <row r="442" spans="8:12" x14ac:dyDescent="0.25">
      <c r="H442" s="10" t="str">
        <f>IF(G442="","",VLOOKUP(G442,MEGHBELA!$A$2:$C$100,3,FALSE))</f>
        <v/>
      </c>
      <c r="I442" s="19"/>
      <c r="J442" s="22" t="str">
        <f t="shared" si="18"/>
        <v/>
      </c>
      <c r="K442" s="10" t="str">
        <f t="shared" ca="1" si="19"/>
        <v/>
      </c>
      <c r="L442" s="7" t="str">
        <f t="shared" ca="1" si="20"/>
        <v/>
      </c>
    </row>
    <row r="443" spans="8:12" x14ac:dyDescent="0.25">
      <c r="H443" s="10" t="str">
        <f>IF(G443="","",VLOOKUP(G443,MEGHBELA!$A$2:$C$100,3,FALSE))</f>
        <v/>
      </c>
      <c r="I443" s="18"/>
      <c r="J443" s="22" t="str">
        <f t="shared" si="18"/>
        <v/>
      </c>
      <c r="K443" s="10" t="str">
        <f t="shared" ca="1" si="19"/>
        <v/>
      </c>
      <c r="L443" s="7" t="str">
        <f t="shared" ca="1" si="20"/>
        <v/>
      </c>
    </row>
    <row r="444" spans="8:12" x14ac:dyDescent="0.25">
      <c r="H444" s="10" t="str">
        <f>IF(G444="","",VLOOKUP(G444,MEGHBELA!$A$2:$C$100,3,FALSE))</f>
        <v/>
      </c>
      <c r="I444" s="19"/>
      <c r="J444" s="22" t="str">
        <f t="shared" si="18"/>
        <v/>
      </c>
      <c r="K444" s="10" t="str">
        <f t="shared" ca="1" si="19"/>
        <v/>
      </c>
      <c r="L444" s="7" t="str">
        <f t="shared" ca="1" si="20"/>
        <v/>
      </c>
    </row>
    <row r="445" spans="8:12" x14ac:dyDescent="0.25">
      <c r="H445" s="10" t="str">
        <f>IF(G445="","",VLOOKUP(G445,MEGHBELA!$A$2:$C$100,3,FALSE))</f>
        <v/>
      </c>
      <c r="I445" s="18"/>
      <c r="J445" s="22" t="str">
        <f t="shared" si="18"/>
        <v/>
      </c>
      <c r="K445" s="10" t="str">
        <f t="shared" ca="1" si="19"/>
        <v/>
      </c>
      <c r="L445" s="7" t="str">
        <f t="shared" ca="1" si="20"/>
        <v/>
      </c>
    </row>
    <row r="446" spans="8:12" x14ac:dyDescent="0.25">
      <c r="H446" s="10" t="str">
        <f>IF(G446="","",VLOOKUP(G446,MEGHBELA!$A$2:$C$100,3,FALSE))</f>
        <v/>
      </c>
      <c r="I446" s="19"/>
      <c r="J446" s="22" t="str">
        <f t="shared" si="18"/>
        <v/>
      </c>
      <c r="K446" s="10" t="str">
        <f t="shared" ca="1" si="19"/>
        <v/>
      </c>
      <c r="L446" s="7" t="str">
        <f t="shared" ca="1" si="20"/>
        <v/>
      </c>
    </row>
    <row r="447" spans="8:12" x14ac:dyDescent="0.25">
      <c r="H447" s="10" t="str">
        <f>IF(G447="","",VLOOKUP(G447,MEGHBELA!$A$2:$C$100,3,FALSE))</f>
        <v/>
      </c>
      <c r="I447" s="18"/>
      <c r="J447" s="22" t="str">
        <f t="shared" si="18"/>
        <v/>
      </c>
      <c r="K447" s="10" t="str">
        <f t="shared" ca="1" si="19"/>
        <v/>
      </c>
      <c r="L447" s="7" t="str">
        <f t="shared" ca="1" si="20"/>
        <v/>
      </c>
    </row>
    <row r="448" spans="8:12" x14ac:dyDescent="0.25">
      <c r="H448" s="10" t="str">
        <f>IF(G448="","",VLOOKUP(G448,MEGHBELA!$A$2:$C$100,3,FALSE))</f>
        <v/>
      </c>
      <c r="I448" s="19"/>
      <c r="J448" s="22" t="str">
        <f t="shared" si="18"/>
        <v/>
      </c>
      <c r="K448" s="10" t="str">
        <f t="shared" ca="1" si="19"/>
        <v/>
      </c>
      <c r="L448" s="7" t="str">
        <f t="shared" ca="1" si="20"/>
        <v/>
      </c>
    </row>
    <row r="449" spans="8:12" x14ac:dyDescent="0.25">
      <c r="H449" s="10" t="str">
        <f>IF(G449="","",VLOOKUP(G449,MEGHBELA!$A$2:$C$100,3,FALSE))</f>
        <v/>
      </c>
      <c r="I449" s="18"/>
      <c r="J449" s="22" t="str">
        <f t="shared" si="18"/>
        <v/>
      </c>
      <c r="K449" s="10" t="str">
        <f t="shared" ca="1" si="19"/>
        <v/>
      </c>
      <c r="L449" s="7" t="str">
        <f t="shared" ca="1" si="20"/>
        <v/>
      </c>
    </row>
    <row r="450" spans="8:12" x14ac:dyDescent="0.25">
      <c r="H450" s="10" t="str">
        <f>IF(G450="","",VLOOKUP(G450,MEGHBELA!$A$2:$C$100,3,FALSE))</f>
        <v/>
      </c>
      <c r="I450" s="19"/>
      <c r="J450" s="22" t="str">
        <f t="shared" ref="J450:J513" si="21">IF(OR(I450="",H450=""),"",I450+H450)</f>
        <v/>
      </c>
      <c r="K450" s="10" t="str">
        <f t="shared" ref="K450:K513" ca="1" si="22">IF(J450="","",J450-TODAY())</f>
        <v/>
      </c>
      <c r="L450" s="7" t="str">
        <f t="shared" ref="L450:L513" ca="1" si="23">IF(K450="","",
IF(K450&lt;0,
HYPERLINK("https://web.whatsapp.com/send?phone=91"&amp;F450&amp;"&amp;text=Dear%20Customer,%20your%20internet%20plan%20expired%20on%20"&amp;TEXT(J450,"dd-mm-yyyy")&amp;".%20Your%20service%20is%20now%20stopped.%20Please%20renew%20immediately%20to%20restore%20service.%0A-----TRUESPEED%20BROADBAND","Send Stop Message"),
IF(K450&lt;=3,
HYPERLINK("https://web.whatsapp.com/send?phone=91"&amp;F450&amp;"&amp;text=Dear%20Customer,%20your%20internet%20plan%20will%20expire%20in%20"&amp;K450&amp;"%20days.%20Please%20renew%20before%20"&amp;TEXT(J450,"dd-mm-yyyy")&amp;".%0A-----TRUESPEED%20BROADBAND","Send Renewal Alert"),
"")))</f>
        <v/>
      </c>
    </row>
    <row r="451" spans="8:12" x14ac:dyDescent="0.25">
      <c r="H451" s="10" t="str">
        <f>IF(G451="","",VLOOKUP(G451,MEGHBELA!$A$2:$C$100,3,FALSE))</f>
        <v/>
      </c>
      <c r="I451" s="18"/>
      <c r="J451" s="22" t="str">
        <f t="shared" si="21"/>
        <v/>
      </c>
      <c r="K451" s="10" t="str">
        <f t="shared" ca="1" si="22"/>
        <v/>
      </c>
      <c r="L451" s="7" t="str">
        <f t="shared" ca="1" si="23"/>
        <v/>
      </c>
    </row>
    <row r="452" spans="8:12" x14ac:dyDescent="0.25">
      <c r="H452" s="10" t="str">
        <f>IF(G452="","",VLOOKUP(G452,MEGHBELA!$A$2:$C$100,3,FALSE))</f>
        <v/>
      </c>
      <c r="I452" s="19"/>
      <c r="J452" s="22" t="str">
        <f t="shared" si="21"/>
        <v/>
      </c>
      <c r="K452" s="10" t="str">
        <f t="shared" ca="1" si="22"/>
        <v/>
      </c>
      <c r="L452" s="7" t="str">
        <f t="shared" ca="1" si="23"/>
        <v/>
      </c>
    </row>
    <row r="453" spans="8:12" x14ac:dyDescent="0.25">
      <c r="H453" s="10" t="str">
        <f>IF(G453="","",VLOOKUP(G453,MEGHBELA!$A$2:$C$100,3,FALSE))</f>
        <v/>
      </c>
      <c r="I453" s="18"/>
      <c r="J453" s="22" t="str">
        <f t="shared" si="21"/>
        <v/>
      </c>
      <c r="K453" s="10" t="str">
        <f t="shared" ca="1" si="22"/>
        <v/>
      </c>
      <c r="L453" s="7" t="str">
        <f t="shared" ca="1" si="23"/>
        <v/>
      </c>
    </row>
    <row r="454" spans="8:12" x14ac:dyDescent="0.25">
      <c r="H454" s="10" t="str">
        <f>IF(G454="","",VLOOKUP(G454,MEGHBELA!$A$2:$C$100,3,FALSE))</f>
        <v/>
      </c>
      <c r="I454" s="19"/>
      <c r="J454" s="22" t="str">
        <f t="shared" si="21"/>
        <v/>
      </c>
      <c r="K454" s="10" t="str">
        <f t="shared" ca="1" si="22"/>
        <v/>
      </c>
      <c r="L454" s="7" t="str">
        <f t="shared" ca="1" si="23"/>
        <v/>
      </c>
    </row>
    <row r="455" spans="8:12" x14ac:dyDescent="0.25">
      <c r="H455" s="10" t="str">
        <f>IF(G455="","",VLOOKUP(G455,MEGHBELA!$A$2:$C$100,3,FALSE))</f>
        <v/>
      </c>
      <c r="I455" s="18"/>
      <c r="J455" s="22" t="str">
        <f t="shared" si="21"/>
        <v/>
      </c>
      <c r="K455" s="10" t="str">
        <f t="shared" ca="1" si="22"/>
        <v/>
      </c>
      <c r="L455" s="7" t="str">
        <f t="shared" ca="1" si="23"/>
        <v/>
      </c>
    </row>
    <row r="456" spans="8:12" x14ac:dyDescent="0.25">
      <c r="H456" s="10" t="str">
        <f>IF(G456="","",VLOOKUP(G456,MEGHBELA!$A$2:$C$100,3,FALSE))</f>
        <v/>
      </c>
      <c r="I456" s="19"/>
      <c r="J456" s="22" t="str">
        <f t="shared" si="21"/>
        <v/>
      </c>
      <c r="K456" s="10" t="str">
        <f t="shared" ca="1" si="22"/>
        <v/>
      </c>
      <c r="L456" s="7" t="str">
        <f t="shared" ca="1" si="23"/>
        <v/>
      </c>
    </row>
    <row r="457" spans="8:12" x14ac:dyDescent="0.25">
      <c r="H457" s="10" t="str">
        <f>IF(G457="","",VLOOKUP(G457,MEGHBELA!$A$2:$C$100,3,FALSE))</f>
        <v/>
      </c>
      <c r="I457" s="18"/>
      <c r="J457" s="22" t="str">
        <f t="shared" si="21"/>
        <v/>
      </c>
      <c r="K457" s="10" t="str">
        <f t="shared" ca="1" si="22"/>
        <v/>
      </c>
      <c r="L457" s="7" t="str">
        <f t="shared" ca="1" si="23"/>
        <v/>
      </c>
    </row>
    <row r="458" spans="8:12" x14ac:dyDescent="0.25">
      <c r="H458" s="10" t="str">
        <f>IF(G458="","",VLOOKUP(G458,MEGHBELA!$A$2:$C$100,3,FALSE))</f>
        <v/>
      </c>
      <c r="I458" s="19"/>
      <c r="J458" s="22" t="str">
        <f t="shared" si="21"/>
        <v/>
      </c>
      <c r="K458" s="10" t="str">
        <f t="shared" ca="1" si="22"/>
        <v/>
      </c>
      <c r="L458" s="7" t="str">
        <f t="shared" ca="1" si="23"/>
        <v/>
      </c>
    </row>
    <row r="459" spans="8:12" x14ac:dyDescent="0.25">
      <c r="H459" s="10" t="str">
        <f>IF(G459="","",VLOOKUP(G459,MEGHBELA!$A$2:$C$100,3,FALSE))</f>
        <v/>
      </c>
      <c r="I459" s="18"/>
      <c r="J459" s="22" t="str">
        <f t="shared" si="21"/>
        <v/>
      </c>
      <c r="K459" s="10" t="str">
        <f t="shared" ca="1" si="22"/>
        <v/>
      </c>
      <c r="L459" s="7" t="str">
        <f t="shared" ca="1" si="23"/>
        <v/>
      </c>
    </row>
    <row r="460" spans="8:12" x14ac:dyDescent="0.25">
      <c r="H460" s="10" t="str">
        <f>IF(G460="","",VLOOKUP(G460,MEGHBELA!$A$2:$C$100,3,FALSE))</f>
        <v/>
      </c>
      <c r="I460" s="19"/>
      <c r="J460" s="22" t="str">
        <f t="shared" si="21"/>
        <v/>
      </c>
      <c r="K460" s="10" t="str">
        <f t="shared" ca="1" si="22"/>
        <v/>
      </c>
      <c r="L460" s="7" t="str">
        <f t="shared" ca="1" si="23"/>
        <v/>
      </c>
    </row>
    <row r="461" spans="8:12" x14ac:dyDescent="0.25">
      <c r="H461" s="10" t="str">
        <f>IF(G461="","",VLOOKUP(G461,MEGHBELA!$A$2:$C$100,3,FALSE))</f>
        <v/>
      </c>
      <c r="I461" s="18"/>
      <c r="J461" s="22" t="str">
        <f t="shared" si="21"/>
        <v/>
      </c>
      <c r="K461" s="10" t="str">
        <f t="shared" ca="1" si="22"/>
        <v/>
      </c>
      <c r="L461" s="7" t="str">
        <f t="shared" ca="1" si="23"/>
        <v/>
      </c>
    </row>
    <row r="462" spans="8:12" x14ac:dyDescent="0.25">
      <c r="H462" s="10" t="str">
        <f>IF(G462="","",VLOOKUP(G462,MEGHBELA!$A$2:$C$100,3,FALSE))</f>
        <v/>
      </c>
      <c r="I462" s="19"/>
      <c r="J462" s="22" t="str">
        <f t="shared" si="21"/>
        <v/>
      </c>
      <c r="K462" s="10" t="str">
        <f t="shared" ca="1" si="22"/>
        <v/>
      </c>
      <c r="L462" s="7" t="str">
        <f t="shared" ca="1" si="23"/>
        <v/>
      </c>
    </row>
    <row r="463" spans="8:12" x14ac:dyDescent="0.25">
      <c r="H463" s="10" t="str">
        <f>IF(G463="","",VLOOKUP(G463,MEGHBELA!$A$2:$C$100,3,FALSE))</f>
        <v/>
      </c>
      <c r="I463" s="18"/>
      <c r="J463" s="22" t="str">
        <f t="shared" si="21"/>
        <v/>
      </c>
      <c r="K463" s="10" t="str">
        <f t="shared" ca="1" si="22"/>
        <v/>
      </c>
      <c r="L463" s="7" t="str">
        <f t="shared" ca="1" si="23"/>
        <v/>
      </c>
    </row>
    <row r="464" spans="8:12" x14ac:dyDescent="0.25">
      <c r="H464" s="10" t="str">
        <f>IF(G464="","",VLOOKUP(G464,MEGHBELA!$A$2:$C$100,3,FALSE))</f>
        <v/>
      </c>
      <c r="I464" s="19"/>
      <c r="J464" s="22" t="str">
        <f t="shared" si="21"/>
        <v/>
      </c>
      <c r="K464" s="10" t="str">
        <f t="shared" ca="1" si="22"/>
        <v/>
      </c>
      <c r="L464" s="7" t="str">
        <f t="shared" ca="1" si="23"/>
        <v/>
      </c>
    </row>
    <row r="465" spans="8:12" x14ac:dyDescent="0.25">
      <c r="H465" s="10" t="str">
        <f>IF(G465="","",VLOOKUP(G465,MEGHBELA!$A$2:$C$100,3,FALSE))</f>
        <v/>
      </c>
      <c r="I465" s="18"/>
      <c r="J465" s="22" t="str">
        <f t="shared" si="21"/>
        <v/>
      </c>
      <c r="K465" s="10" t="str">
        <f t="shared" ca="1" si="22"/>
        <v/>
      </c>
      <c r="L465" s="7" t="str">
        <f t="shared" ca="1" si="23"/>
        <v/>
      </c>
    </row>
    <row r="466" spans="8:12" x14ac:dyDescent="0.25">
      <c r="H466" s="10" t="str">
        <f>IF(G466="","",VLOOKUP(G466,MEGHBELA!$A$2:$C$100,3,FALSE))</f>
        <v/>
      </c>
      <c r="I466" s="19"/>
      <c r="J466" s="22" t="str">
        <f t="shared" si="21"/>
        <v/>
      </c>
      <c r="K466" s="10" t="str">
        <f t="shared" ca="1" si="22"/>
        <v/>
      </c>
      <c r="L466" s="7" t="str">
        <f t="shared" ca="1" si="23"/>
        <v/>
      </c>
    </row>
    <row r="467" spans="8:12" x14ac:dyDescent="0.25">
      <c r="H467" s="10" t="str">
        <f>IF(G467="","",VLOOKUP(G467,MEGHBELA!$A$2:$C$100,3,FALSE))</f>
        <v/>
      </c>
      <c r="I467" s="18"/>
      <c r="J467" s="22" t="str">
        <f t="shared" si="21"/>
        <v/>
      </c>
      <c r="K467" s="10" t="str">
        <f t="shared" ca="1" si="22"/>
        <v/>
      </c>
      <c r="L467" s="7" t="str">
        <f t="shared" ca="1" si="23"/>
        <v/>
      </c>
    </row>
    <row r="468" spans="8:12" x14ac:dyDescent="0.25">
      <c r="H468" s="10" t="str">
        <f>IF(G468="","",VLOOKUP(G468,MEGHBELA!$A$2:$C$100,3,FALSE))</f>
        <v/>
      </c>
      <c r="I468" s="19"/>
      <c r="J468" s="22" t="str">
        <f t="shared" si="21"/>
        <v/>
      </c>
      <c r="K468" s="10" t="str">
        <f t="shared" ca="1" si="22"/>
        <v/>
      </c>
      <c r="L468" s="7" t="str">
        <f t="shared" ca="1" si="23"/>
        <v/>
      </c>
    </row>
    <row r="469" spans="8:12" x14ac:dyDescent="0.25">
      <c r="H469" s="10" t="str">
        <f>IF(G469="","",VLOOKUP(G469,MEGHBELA!$A$2:$C$100,3,FALSE))</f>
        <v/>
      </c>
      <c r="I469" s="18"/>
      <c r="J469" s="22" t="str">
        <f t="shared" si="21"/>
        <v/>
      </c>
      <c r="K469" s="10" t="str">
        <f t="shared" ca="1" si="22"/>
        <v/>
      </c>
      <c r="L469" s="7" t="str">
        <f t="shared" ca="1" si="23"/>
        <v/>
      </c>
    </row>
    <row r="470" spans="8:12" x14ac:dyDescent="0.25">
      <c r="H470" s="10" t="str">
        <f>IF(G470="","",VLOOKUP(G470,MEGHBELA!$A$2:$C$100,3,FALSE))</f>
        <v/>
      </c>
      <c r="I470" s="19"/>
      <c r="J470" s="22" t="str">
        <f t="shared" si="21"/>
        <v/>
      </c>
      <c r="K470" s="10" t="str">
        <f t="shared" ca="1" si="22"/>
        <v/>
      </c>
      <c r="L470" s="7" t="str">
        <f t="shared" ca="1" si="23"/>
        <v/>
      </c>
    </row>
    <row r="471" spans="8:12" x14ac:dyDescent="0.25">
      <c r="H471" s="10" t="str">
        <f>IF(G471="","",VLOOKUP(G471,MEGHBELA!$A$2:$C$100,3,FALSE))</f>
        <v/>
      </c>
      <c r="I471" s="18"/>
      <c r="J471" s="22" t="str">
        <f t="shared" si="21"/>
        <v/>
      </c>
      <c r="K471" s="10" t="str">
        <f t="shared" ca="1" si="22"/>
        <v/>
      </c>
      <c r="L471" s="7" t="str">
        <f t="shared" ca="1" si="23"/>
        <v/>
      </c>
    </row>
    <row r="472" spans="8:12" x14ac:dyDescent="0.25">
      <c r="H472" s="10" t="str">
        <f>IF(G472="","",VLOOKUP(G472,MEGHBELA!$A$2:$C$100,3,FALSE))</f>
        <v/>
      </c>
      <c r="I472" s="19"/>
      <c r="J472" s="22" t="str">
        <f t="shared" si="21"/>
        <v/>
      </c>
      <c r="K472" s="10" t="str">
        <f t="shared" ca="1" si="22"/>
        <v/>
      </c>
      <c r="L472" s="7" t="str">
        <f t="shared" ca="1" si="23"/>
        <v/>
      </c>
    </row>
    <row r="473" spans="8:12" x14ac:dyDescent="0.25">
      <c r="H473" s="10" t="str">
        <f>IF(G473="","",VLOOKUP(G473,MEGHBELA!$A$2:$C$100,3,FALSE))</f>
        <v/>
      </c>
      <c r="I473" s="18"/>
      <c r="J473" s="22" t="str">
        <f t="shared" si="21"/>
        <v/>
      </c>
      <c r="K473" s="10" t="str">
        <f t="shared" ca="1" si="22"/>
        <v/>
      </c>
      <c r="L473" s="7" t="str">
        <f t="shared" ca="1" si="23"/>
        <v/>
      </c>
    </row>
    <row r="474" spans="8:12" x14ac:dyDescent="0.25">
      <c r="H474" s="10" t="str">
        <f>IF(G474="","",VLOOKUP(G474,MEGHBELA!$A$2:$C$100,3,FALSE))</f>
        <v/>
      </c>
      <c r="I474" s="19"/>
      <c r="J474" s="22" t="str">
        <f t="shared" si="21"/>
        <v/>
      </c>
      <c r="K474" s="10" t="str">
        <f t="shared" ca="1" si="22"/>
        <v/>
      </c>
      <c r="L474" s="7" t="str">
        <f t="shared" ca="1" si="23"/>
        <v/>
      </c>
    </row>
    <row r="475" spans="8:12" x14ac:dyDescent="0.25">
      <c r="H475" s="10" t="str">
        <f>IF(G475="","",VLOOKUP(G475,MEGHBELA!$A$2:$C$100,3,FALSE))</f>
        <v/>
      </c>
      <c r="I475" s="18"/>
      <c r="J475" s="22" t="str">
        <f t="shared" si="21"/>
        <v/>
      </c>
      <c r="K475" s="10" t="str">
        <f t="shared" ca="1" si="22"/>
        <v/>
      </c>
      <c r="L475" s="7" t="str">
        <f t="shared" ca="1" si="23"/>
        <v/>
      </c>
    </row>
    <row r="476" spans="8:12" x14ac:dyDescent="0.25">
      <c r="H476" s="10" t="str">
        <f>IF(G476="","",VLOOKUP(G476,MEGHBELA!$A$2:$C$100,3,FALSE))</f>
        <v/>
      </c>
      <c r="I476" s="19"/>
      <c r="J476" s="22" t="str">
        <f t="shared" si="21"/>
        <v/>
      </c>
      <c r="K476" s="10" t="str">
        <f t="shared" ca="1" si="22"/>
        <v/>
      </c>
      <c r="L476" s="7" t="str">
        <f t="shared" ca="1" si="23"/>
        <v/>
      </c>
    </row>
    <row r="477" spans="8:12" x14ac:dyDescent="0.25">
      <c r="H477" s="10" t="str">
        <f>IF(G477="","",VLOOKUP(G477,MEGHBELA!$A$2:$C$100,3,FALSE))</f>
        <v/>
      </c>
      <c r="I477" s="18"/>
      <c r="J477" s="22" t="str">
        <f t="shared" si="21"/>
        <v/>
      </c>
      <c r="K477" s="10" t="str">
        <f t="shared" ca="1" si="22"/>
        <v/>
      </c>
      <c r="L477" s="7" t="str">
        <f t="shared" ca="1" si="23"/>
        <v/>
      </c>
    </row>
    <row r="478" spans="8:12" x14ac:dyDescent="0.25">
      <c r="H478" s="10" t="str">
        <f>IF(G478="","",VLOOKUP(G478,MEGHBELA!$A$2:$C$100,3,FALSE))</f>
        <v/>
      </c>
      <c r="I478" s="19"/>
      <c r="J478" s="22" t="str">
        <f t="shared" si="21"/>
        <v/>
      </c>
      <c r="K478" s="10" t="str">
        <f t="shared" ca="1" si="22"/>
        <v/>
      </c>
      <c r="L478" s="7" t="str">
        <f t="shared" ca="1" si="23"/>
        <v/>
      </c>
    </row>
    <row r="479" spans="8:12" x14ac:dyDescent="0.25">
      <c r="H479" s="10" t="str">
        <f>IF(G479="","",VLOOKUP(G479,MEGHBELA!$A$2:$C$100,3,FALSE))</f>
        <v/>
      </c>
      <c r="I479" s="18"/>
      <c r="J479" s="22" t="str">
        <f t="shared" si="21"/>
        <v/>
      </c>
      <c r="K479" s="10" t="str">
        <f t="shared" ca="1" si="22"/>
        <v/>
      </c>
      <c r="L479" s="7" t="str">
        <f t="shared" ca="1" si="23"/>
        <v/>
      </c>
    </row>
    <row r="480" spans="8:12" x14ac:dyDescent="0.25">
      <c r="H480" s="10" t="str">
        <f>IF(G480="","",VLOOKUP(G480,MEGHBELA!$A$2:$C$100,3,FALSE))</f>
        <v/>
      </c>
      <c r="I480" s="19"/>
      <c r="J480" s="22" t="str">
        <f t="shared" si="21"/>
        <v/>
      </c>
      <c r="K480" s="10" t="str">
        <f t="shared" ca="1" si="22"/>
        <v/>
      </c>
      <c r="L480" s="7" t="str">
        <f t="shared" ca="1" si="23"/>
        <v/>
      </c>
    </row>
    <row r="481" spans="8:12" x14ac:dyDescent="0.25">
      <c r="H481" s="10" t="str">
        <f>IF(G481="","",VLOOKUP(G481,MEGHBELA!$A$2:$C$100,3,FALSE))</f>
        <v/>
      </c>
      <c r="I481" s="18"/>
      <c r="J481" s="22" t="str">
        <f t="shared" si="21"/>
        <v/>
      </c>
      <c r="K481" s="10" t="str">
        <f t="shared" ca="1" si="22"/>
        <v/>
      </c>
      <c r="L481" s="7" t="str">
        <f t="shared" ca="1" si="23"/>
        <v/>
      </c>
    </row>
    <row r="482" spans="8:12" x14ac:dyDescent="0.25">
      <c r="H482" s="10" t="str">
        <f>IF(G482="","",VLOOKUP(G482,MEGHBELA!$A$2:$C$100,3,FALSE))</f>
        <v/>
      </c>
      <c r="I482" s="19"/>
      <c r="J482" s="22" t="str">
        <f t="shared" si="21"/>
        <v/>
      </c>
      <c r="K482" s="10" t="str">
        <f t="shared" ca="1" si="22"/>
        <v/>
      </c>
      <c r="L482" s="7" t="str">
        <f t="shared" ca="1" si="23"/>
        <v/>
      </c>
    </row>
    <row r="483" spans="8:12" x14ac:dyDescent="0.25">
      <c r="H483" s="10" t="str">
        <f>IF(G483="","",VLOOKUP(G483,MEGHBELA!$A$2:$C$100,3,FALSE))</f>
        <v/>
      </c>
      <c r="I483" s="18"/>
      <c r="J483" s="22" t="str">
        <f t="shared" si="21"/>
        <v/>
      </c>
      <c r="K483" s="10" t="str">
        <f t="shared" ca="1" si="22"/>
        <v/>
      </c>
      <c r="L483" s="7" t="str">
        <f t="shared" ca="1" si="23"/>
        <v/>
      </c>
    </row>
    <row r="484" spans="8:12" x14ac:dyDescent="0.25">
      <c r="H484" s="10" t="str">
        <f>IF(G484="","",VLOOKUP(G484,MEGHBELA!$A$2:$C$100,3,FALSE))</f>
        <v/>
      </c>
      <c r="I484" s="19"/>
      <c r="J484" s="22" t="str">
        <f t="shared" si="21"/>
        <v/>
      </c>
      <c r="K484" s="10" t="str">
        <f t="shared" ca="1" si="22"/>
        <v/>
      </c>
      <c r="L484" s="7" t="str">
        <f t="shared" ca="1" si="23"/>
        <v/>
      </c>
    </row>
    <row r="485" spans="8:12" x14ac:dyDescent="0.25">
      <c r="H485" s="10" t="str">
        <f>IF(G485="","",VLOOKUP(G485,MEGHBELA!$A$2:$C$100,3,FALSE))</f>
        <v/>
      </c>
      <c r="I485" s="18"/>
      <c r="J485" s="22" t="str">
        <f t="shared" si="21"/>
        <v/>
      </c>
      <c r="K485" s="10" t="str">
        <f t="shared" ca="1" si="22"/>
        <v/>
      </c>
      <c r="L485" s="7" t="str">
        <f t="shared" ca="1" si="23"/>
        <v/>
      </c>
    </row>
    <row r="486" spans="8:12" x14ac:dyDescent="0.25">
      <c r="H486" s="10" t="str">
        <f>IF(G486="","",VLOOKUP(G486,MEGHBELA!$A$2:$C$100,3,FALSE))</f>
        <v/>
      </c>
      <c r="I486" s="19"/>
      <c r="J486" s="22" t="str">
        <f t="shared" si="21"/>
        <v/>
      </c>
      <c r="K486" s="10" t="str">
        <f t="shared" ca="1" si="22"/>
        <v/>
      </c>
      <c r="L486" s="7" t="str">
        <f t="shared" ca="1" si="23"/>
        <v/>
      </c>
    </row>
    <row r="487" spans="8:12" x14ac:dyDescent="0.25">
      <c r="H487" s="10" t="str">
        <f>IF(G487="","",VLOOKUP(G487,MEGHBELA!$A$2:$C$100,3,FALSE))</f>
        <v/>
      </c>
      <c r="I487" s="18"/>
      <c r="J487" s="22" t="str">
        <f t="shared" si="21"/>
        <v/>
      </c>
      <c r="K487" s="10" t="str">
        <f t="shared" ca="1" si="22"/>
        <v/>
      </c>
      <c r="L487" s="7" t="str">
        <f t="shared" ca="1" si="23"/>
        <v/>
      </c>
    </row>
    <row r="488" spans="8:12" x14ac:dyDescent="0.25">
      <c r="H488" s="10" t="str">
        <f>IF(G488="","",VLOOKUP(G488,MEGHBELA!$A$2:$C$100,3,FALSE))</f>
        <v/>
      </c>
      <c r="I488" s="19"/>
      <c r="J488" s="22" t="str">
        <f t="shared" si="21"/>
        <v/>
      </c>
      <c r="K488" s="10" t="str">
        <f t="shared" ca="1" si="22"/>
        <v/>
      </c>
      <c r="L488" s="7" t="str">
        <f t="shared" ca="1" si="23"/>
        <v/>
      </c>
    </row>
    <row r="489" spans="8:12" x14ac:dyDescent="0.25">
      <c r="H489" s="10" t="str">
        <f>IF(G489="","",VLOOKUP(G489,MEGHBELA!$A$2:$C$100,3,FALSE))</f>
        <v/>
      </c>
      <c r="I489" s="18"/>
      <c r="J489" s="22" t="str">
        <f t="shared" si="21"/>
        <v/>
      </c>
      <c r="K489" s="10" t="str">
        <f t="shared" ca="1" si="22"/>
        <v/>
      </c>
      <c r="L489" s="7" t="str">
        <f t="shared" ca="1" si="23"/>
        <v/>
      </c>
    </row>
    <row r="490" spans="8:12" x14ac:dyDescent="0.25">
      <c r="H490" s="10" t="str">
        <f>IF(G490="","",VLOOKUP(G490,MEGHBELA!$A$2:$C$100,3,FALSE))</f>
        <v/>
      </c>
      <c r="I490" s="19"/>
      <c r="J490" s="22" t="str">
        <f t="shared" si="21"/>
        <v/>
      </c>
      <c r="K490" s="10" t="str">
        <f t="shared" ca="1" si="22"/>
        <v/>
      </c>
      <c r="L490" s="7" t="str">
        <f t="shared" ca="1" si="23"/>
        <v/>
      </c>
    </row>
    <row r="491" spans="8:12" x14ac:dyDescent="0.25">
      <c r="H491" s="10" t="str">
        <f>IF(G491="","",VLOOKUP(G491,MEGHBELA!$A$2:$C$100,3,FALSE))</f>
        <v/>
      </c>
      <c r="I491" s="18"/>
      <c r="J491" s="22" t="str">
        <f t="shared" si="21"/>
        <v/>
      </c>
      <c r="K491" s="10" t="str">
        <f t="shared" ca="1" si="22"/>
        <v/>
      </c>
      <c r="L491" s="7" t="str">
        <f t="shared" ca="1" si="23"/>
        <v/>
      </c>
    </row>
    <row r="492" spans="8:12" x14ac:dyDescent="0.25">
      <c r="H492" s="10" t="str">
        <f>IF(G492="","",VLOOKUP(G492,MEGHBELA!$A$2:$C$100,3,FALSE))</f>
        <v/>
      </c>
      <c r="I492" s="19"/>
      <c r="J492" s="22" t="str">
        <f t="shared" si="21"/>
        <v/>
      </c>
      <c r="K492" s="10" t="str">
        <f t="shared" ca="1" si="22"/>
        <v/>
      </c>
      <c r="L492" s="7" t="str">
        <f t="shared" ca="1" si="23"/>
        <v/>
      </c>
    </row>
    <row r="493" spans="8:12" x14ac:dyDescent="0.25">
      <c r="H493" s="10" t="str">
        <f>IF(G493="","",VLOOKUP(G493,MEGHBELA!$A$2:$C$100,3,FALSE))</f>
        <v/>
      </c>
      <c r="I493" s="18"/>
      <c r="J493" s="22" t="str">
        <f t="shared" si="21"/>
        <v/>
      </c>
      <c r="K493" s="10" t="str">
        <f t="shared" ca="1" si="22"/>
        <v/>
      </c>
      <c r="L493" s="7" t="str">
        <f t="shared" ca="1" si="23"/>
        <v/>
      </c>
    </row>
    <row r="494" spans="8:12" x14ac:dyDescent="0.25">
      <c r="H494" s="10" t="str">
        <f>IF(G494="","",VLOOKUP(G494,MEGHBELA!$A$2:$C$100,3,FALSE))</f>
        <v/>
      </c>
      <c r="I494" s="19"/>
      <c r="J494" s="22" t="str">
        <f t="shared" si="21"/>
        <v/>
      </c>
      <c r="K494" s="10" t="str">
        <f t="shared" ca="1" si="22"/>
        <v/>
      </c>
      <c r="L494" s="7" t="str">
        <f t="shared" ca="1" si="23"/>
        <v/>
      </c>
    </row>
    <row r="495" spans="8:12" x14ac:dyDescent="0.25">
      <c r="H495" s="10" t="str">
        <f>IF(G495="","",VLOOKUP(G495,MEGHBELA!$A$2:$C$100,3,FALSE))</f>
        <v/>
      </c>
      <c r="I495" s="18"/>
      <c r="J495" s="22" t="str">
        <f t="shared" si="21"/>
        <v/>
      </c>
      <c r="K495" s="10" t="str">
        <f t="shared" ca="1" si="22"/>
        <v/>
      </c>
      <c r="L495" s="7" t="str">
        <f t="shared" ca="1" si="23"/>
        <v/>
      </c>
    </row>
    <row r="496" spans="8:12" x14ac:dyDescent="0.25">
      <c r="H496" s="10" t="str">
        <f>IF(G496="","",VLOOKUP(G496,MEGHBELA!$A$2:$C$100,3,FALSE))</f>
        <v/>
      </c>
      <c r="I496" s="19"/>
      <c r="J496" s="22" t="str">
        <f t="shared" si="21"/>
        <v/>
      </c>
      <c r="K496" s="10" t="str">
        <f t="shared" ca="1" si="22"/>
        <v/>
      </c>
      <c r="L496" s="7" t="str">
        <f t="shared" ca="1" si="23"/>
        <v/>
      </c>
    </row>
    <row r="497" spans="8:12" x14ac:dyDescent="0.25">
      <c r="H497" s="10" t="str">
        <f>IF(G497="","",VLOOKUP(G497,MEGHBELA!$A$2:$C$100,3,FALSE))</f>
        <v/>
      </c>
      <c r="I497" s="18"/>
      <c r="J497" s="22" t="str">
        <f t="shared" si="21"/>
        <v/>
      </c>
      <c r="K497" s="10" t="str">
        <f t="shared" ca="1" si="22"/>
        <v/>
      </c>
      <c r="L497" s="7" t="str">
        <f t="shared" ca="1" si="23"/>
        <v/>
      </c>
    </row>
    <row r="498" spans="8:12" x14ac:dyDescent="0.25">
      <c r="H498" s="10" t="str">
        <f>IF(G498="","",VLOOKUP(G498,MEGHBELA!$A$2:$C$100,3,FALSE))</f>
        <v/>
      </c>
      <c r="I498" s="19"/>
      <c r="J498" s="22" t="str">
        <f t="shared" si="21"/>
        <v/>
      </c>
      <c r="K498" s="10" t="str">
        <f t="shared" ca="1" si="22"/>
        <v/>
      </c>
      <c r="L498" s="7" t="str">
        <f t="shared" ca="1" si="23"/>
        <v/>
      </c>
    </row>
    <row r="499" spans="8:12" x14ac:dyDescent="0.25">
      <c r="H499" s="10" t="str">
        <f>IF(G499="","",VLOOKUP(G499,MEGHBELA!$A$2:$C$100,3,FALSE))</f>
        <v/>
      </c>
      <c r="I499" s="18"/>
      <c r="J499" s="22" t="str">
        <f t="shared" si="21"/>
        <v/>
      </c>
      <c r="K499" s="10" t="str">
        <f t="shared" ca="1" si="22"/>
        <v/>
      </c>
      <c r="L499" s="7" t="str">
        <f t="shared" ca="1" si="23"/>
        <v/>
      </c>
    </row>
    <row r="500" spans="8:12" x14ac:dyDescent="0.25">
      <c r="H500" s="10" t="str">
        <f>IF(G500="","",VLOOKUP(G500,MEGHBELA!$A$2:$C$100,3,FALSE))</f>
        <v/>
      </c>
      <c r="I500" s="19"/>
      <c r="J500" s="22" t="str">
        <f t="shared" si="21"/>
        <v/>
      </c>
      <c r="K500" s="10" t="str">
        <f t="shared" ca="1" si="22"/>
        <v/>
      </c>
      <c r="L500" s="7" t="str">
        <f t="shared" ca="1" si="23"/>
        <v/>
      </c>
    </row>
    <row r="501" spans="8:12" x14ac:dyDescent="0.25">
      <c r="H501" s="10" t="str">
        <f>IF(G501="","",VLOOKUP(G501,MEGHBELA!$A$2:$C$100,3,FALSE))</f>
        <v/>
      </c>
      <c r="I501" s="18"/>
      <c r="J501" s="22" t="str">
        <f t="shared" si="21"/>
        <v/>
      </c>
      <c r="K501" s="10" t="str">
        <f t="shared" ca="1" si="22"/>
        <v/>
      </c>
      <c r="L501" s="7" t="str">
        <f t="shared" ca="1" si="23"/>
        <v/>
      </c>
    </row>
    <row r="502" spans="8:12" x14ac:dyDescent="0.25">
      <c r="H502" s="10" t="str">
        <f>IF(G502="","",VLOOKUP(G502,MEGHBELA!$A$2:$C$100,3,FALSE))</f>
        <v/>
      </c>
      <c r="I502" s="19"/>
      <c r="J502" s="22" t="str">
        <f t="shared" si="21"/>
        <v/>
      </c>
      <c r="K502" s="10" t="str">
        <f t="shared" ca="1" si="22"/>
        <v/>
      </c>
      <c r="L502" s="7" t="str">
        <f t="shared" ca="1" si="23"/>
        <v/>
      </c>
    </row>
    <row r="503" spans="8:12" x14ac:dyDescent="0.25">
      <c r="H503" s="10" t="str">
        <f>IF(G503="","",VLOOKUP(G503,MEGHBELA!$A$2:$C$100,3,FALSE))</f>
        <v/>
      </c>
      <c r="I503" s="18"/>
      <c r="J503" s="22" t="str">
        <f t="shared" si="21"/>
        <v/>
      </c>
      <c r="K503" s="10" t="str">
        <f t="shared" ca="1" si="22"/>
        <v/>
      </c>
      <c r="L503" s="7" t="str">
        <f t="shared" ca="1" si="23"/>
        <v/>
      </c>
    </row>
    <row r="504" spans="8:12" x14ac:dyDescent="0.25">
      <c r="H504" s="10" t="str">
        <f>IF(G504="","",VLOOKUP(G504,MEGHBELA!$A$2:$C$100,3,FALSE))</f>
        <v/>
      </c>
      <c r="I504" s="19"/>
      <c r="J504" s="22" t="str">
        <f t="shared" si="21"/>
        <v/>
      </c>
      <c r="K504" s="10" t="str">
        <f t="shared" ca="1" si="22"/>
        <v/>
      </c>
      <c r="L504" s="7" t="str">
        <f t="shared" ca="1" si="23"/>
        <v/>
      </c>
    </row>
    <row r="505" spans="8:12" x14ac:dyDescent="0.25">
      <c r="H505" s="10" t="str">
        <f>IF(G505="","",VLOOKUP(G505,MEGHBELA!$A$2:$C$100,3,FALSE))</f>
        <v/>
      </c>
      <c r="I505" s="18"/>
      <c r="J505" s="22" t="str">
        <f t="shared" si="21"/>
        <v/>
      </c>
      <c r="K505" s="10" t="str">
        <f t="shared" ca="1" si="22"/>
        <v/>
      </c>
      <c r="L505" s="7" t="str">
        <f t="shared" ca="1" si="23"/>
        <v/>
      </c>
    </row>
    <row r="506" spans="8:12" x14ac:dyDescent="0.25">
      <c r="H506" s="10" t="str">
        <f>IF(G506="","",VLOOKUP(G506,MEGHBELA!$A$2:$C$100,3,FALSE))</f>
        <v/>
      </c>
      <c r="I506" s="19"/>
      <c r="J506" s="22" t="str">
        <f t="shared" si="21"/>
        <v/>
      </c>
      <c r="K506" s="10" t="str">
        <f t="shared" ca="1" si="22"/>
        <v/>
      </c>
      <c r="L506" s="7" t="str">
        <f t="shared" ca="1" si="23"/>
        <v/>
      </c>
    </row>
    <row r="507" spans="8:12" x14ac:dyDescent="0.25">
      <c r="H507" s="10" t="str">
        <f>IF(G507="","",VLOOKUP(G507,MEGHBELA!$A$2:$C$100,3,FALSE))</f>
        <v/>
      </c>
      <c r="I507" s="18"/>
      <c r="J507" s="22" t="str">
        <f t="shared" si="21"/>
        <v/>
      </c>
      <c r="K507" s="10" t="str">
        <f t="shared" ca="1" si="22"/>
        <v/>
      </c>
      <c r="L507" s="7" t="str">
        <f t="shared" ca="1" si="23"/>
        <v/>
      </c>
    </row>
    <row r="508" spans="8:12" x14ac:dyDescent="0.25">
      <c r="H508" s="10" t="str">
        <f>IF(G508="","",VLOOKUP(G508,MEGHBELA!$A$2:$C$100,3,FALSE))</f>
        <v/>
      </c>
      <c r="I508" s="19"/>
      <c r="J508" s="22" t="str">
        <f t="shared" si="21"/>
        <v/>
      </c>
      <c r="K508" s="10" t="str">
        <f t="shared" ca="1" si="22"/>
        <v/>
      </c>
      <c r="L508" s="7" t="str">
        <f t="shared" ca="1" si="23"/>
        <v/>
      </c>
    </row>
    <row r="509" spans="8:12" x14ac:dyDescent="0.25">
      <c r="H509" s="10" t="str">
        <f>IF(G509="","",VLOOKUP(G509,MEGHBELA!$A$2:$C$100,3,FALSE))</f>
        <v/>
      </c>
      <c r="I509" s="18"/>
      <c r="J509" s="22" t="str">
        <f t="shared" si="21"/>
        <v/>
      </c>
      <c r="K509" s="10" t="str">
        <f t="shared" ca="1" si="22"/>
        <v/>
      </c>
      <c r="L509" s="7" t="str">
        <f t="shared" ca="1" si="23"/>
        <v/>
      </c>
    </row>
    <row r="510" spans="8:12" x14ac:dyDescent="0.25">
      <c r="H510" s="10" t="str">
        <f>IF(G510="","",VLOOKUP(G510,MEGHBELA!$A$2:$C$100,3,FALSE))</f>
        <v/>
      </c>
      <c r="I510" s="19"/>
      <c r="J510" s="22" t="str">
        <f t="shared" si="21"/>
        <v/>
      </c>
      <c r="K510" s="10" t="str">
        <f t="shared" ca="1" si="22"/>
        <v/>
      </c>
      <c r="L510" s="7" t="str">
        <f t="shared" ca="1" si="23"/>
        <v/>
      </c>
    </row>
    <row r="511" spans="8:12" x14ac:dyDescent="0.25">
      <c r="H511" s="10" t="str">
        <f>IF(G511="","",VLOOKUP(G511,MEGHBELA!$A$2:$C$100,3,FALSE))</f>
        <v/>
      </c>
      <c r="I511" s="18"/>
      <c r="J511" s="22" t="str">
        <f t="shared" si="21"/>
        <v/>
      </c>
      <c r="K511" s="10" t="str">
        <f t="shared" ca="1" si="22"/>
        <v/>
      </c>
      <c r="L511" s="7" t="str">
        <f t="shared" ca="1" si="23"/>
        <v/>
      </c>
    </row>
    <row r="512" spans="8:12" x14ac:dyDescent="0.25">
      <c r="H512" s="10" t="str">
        <f>IF(G512="","",VLOOKUP(G512,MEGHBELA!$A$2:$C$100,3,FALSE))</f>
        <v/>
      </c>
      <c r="I512" s="19"/>
      <c r="J512" s="22" t="str">
        <f t="shared" si="21"/>
        <v/>
      </c>
      <c r="K512" s="10" t="str">
        <f t="shared" ca="1" si="22"/>
        <v/>
      </c>
      <c r="L512" s="7" t="str">
        <f t="shared" ca="1" si="23"/>
        <v/>
      </c>
    </row>
    <row r="513" spans="8:12" x14ac:dyDescent="0.25">
      <c r="H513" s="10" t="str">
        <f>IF(G513="","",VLOOKUP(G513,MEGHBELA!$A$2:$C$100,3,FALSE))</f>
        <v/>
      </c>
      <c r="I513" s="18"/>
      <c r="J513" s="22" t="str">
        <f t="shared" si="21"/>
        <v/>
      </c>
      <c r="K513" s="10" t="str">
        <f t="shared" ca="1" si="22"/>
        <v/>
      </c>
      <c r="L513" s="7" t="str">
        <f t="shared" ca="1" si="23"/>
        <v/>
      </c>
    </row>
    <row r="514" spans="8:12" x14ac:dyDescent="0.25">
      <c r="H514" s="10" t="str">
        <f>IF(G514="","",VLOOKUP(G514,MEGHBELA!$A$2:$C$100,3,FALSE))</f>
        <v/>
      </c>
      <c r="I514" s="19"/>
      <c r="J514" s="22" t="str">
        <f t="shared" ref="J514:J577" si="24">IF(OR(I514="",H514=""),"",I514+H514)</f>
        <v/>
      </c>
      <c r="K514" s="10" t="str">
        <f t="shared" ref="K514:K577" ca="1" si="25">IF(J514="","",J514-TODAY())</f>
        <v/>
      </c>
      <c r="L514" s="7" t="str">
        <f t="shared" ref="L514:L577" ca="1" si="26">IF(K514="","",
IF(K514&lt;0,
HYPERLINK("https://web.whatsapp.com/send?phone=91"&amp;F514&amp;"&amp;text=Dear%20Customer,%20your%20internet%20plan%20expired%20on%20"&amp;TEXT(J514,"dd-mm-yyyy")&amp;".%20Your%20service%20is%20now%20stopped.%20Please%20renew%20immediately%20to%20restore%20service.%0A-----TRUESPEED%20BROADBAND","Send Stop Message"),
IF(K514&lt;=3,
HYPERLINK("https://web.whatsapp.com/send?phone=91"&amp;F514&amp;"&amp;text=Dear%20Customer,%20your%20internet%20plan%20will%20expire%20in%20"&amp;K514&amp;"%20days.%20Please%20renew%20before%20"&amp;TEXT(J514,"dd-mm-yyyy")&amp;".%0A-----TRUESPEED%20BROADBAND","Send Renewal Alert"),
"")))</f>
        <v/>
      </c>
    </row>
    <row r="515" spans="8:12" x14ac:dyDescent="0.25">
      <c r="H515" s="10" t="str">
        <f>IF(G515="","",VLOOKUP(G515,MEGHBELA!$A$2:$C$100,3,FALSE))</f>
        <v/>
      </c>
      <c r="I515" s="18"/>
      <c r="J515" s="22" t="str">
        <f t="shared" si="24"/>
        <v/>
      </c>
      <c r="K515" s="10" t="str">
        <f t="shared" ca="1" si="25"/>
        <v/>
      </c>
      <c r="L515" s="7" t="str">
        <f t="shared" ca="1" si="26"/>
        <v/>
      </c>
    </row>
    <row r="516" spans="8:12" x14ac:dyDescent="0.25">
      <c r="H516" s="10" t="str">
        <f>IF(G516="","",VLOOKUP(G516,MEGHBELA!$A$2:$C$100,3,FALSE))</f>
        <v/>
      </c>
      <c r="I516" s="19"/>
      <c r="J516" s="22" t="str">
        <f t="shared" si="24"/>
        <v/>
      </c>
      <c r="K516" s="10" t="str">
        <f t="shared" ca="1" si="25"/>
        <v/>
      </c>
      <c r="L516" s="7" t="str">
        <f t="shared" ca="1" si="26"/>
        <v/>
      </c>
    </row>
    <row r="517" spans="8:12" x14ac:dyDescent="0.25">
      <c r="H517" s="10" t="str">
        <f>IF(G517="","",VLOOKUP(G517,MEGHBELA!$A$2:$C$100,3,FALSE))</f>
        <v/>
      </c>
      <c r="I517" s="18"/>
      <c r="J517" s="22" t="str">
        <f t="shared" si="24"/>
        <v/>
      </c>
      <c r="K517" s="10" t="str">
        <f t="shared" ca="1" si="25"/>
        <v/>
      </c>
      <c r="L517" s="7" t="str">
        <f t="shared" ca="1" si="26"/>
        <v/>
      </c>
    </row>
    <row r="518" spans="8:12" x14ac:dyDescent="0.25">
      <c r="H518" s="10" t="str">
        <f>IF(G518="","",VLOOKUP(G518,MEGHBELA!$A$2:$C$100,3,FALSE))</f>
        <v/>
      </c>
      <c r="I518" s="19"/>
      <c r="J518" s="22" t="str">
        <f t="shared" si="24"/>
        <v/>
      </c>
      <c r="K518" s="10" t="str">
        <f t="shared" ca="1" si="25"/>
        <v/>
      </c>
      <c r="L518" s="7" t="str">
        <f t="shared" ca="1" si="26"/>
        <v/>
      </c>
    </row>
    <row r="519" spans="8:12" x14ac:dyDescent="0.25">
      <c r="H519" s="10" t="str">
        <f>IF(G519="","",VLOOKUP(G519,MEGHBELA!$A$2:$C$100,3,FALSE))</f>
        <v/>
      </c>
      <c r="I519" s="18"/>
      <c r="J519" s="22" t="str">
        <f t="shared" si="24"/>
        <v/>
      </c>
      <c r="K519" s="10" t="str">
        <f t="shared" ca="1" si="25"/>
        <v/>
      </c>
      <c r="L519" s="7" t="str">
        <f t="shared" ca="1" si="26"/>
        <v/>
      </c>
    </row>
    <row r="520" spans="8:12" x14ac:dyDescent="0.25">
      <c r="H520" s="10" t="str">
        <f>IF(G520="","",VLOOKUP(G520,MEGHBELA!$A$2:$C$100,3,FALSE))</f>
        <v/>
      </c>
      <c r="I520" s="19"/>
      <c r="J520" s="22" t="str">
        <f t="shared" si="24"/>
        <v/>
      </c>
      <c r="K520" s="10" t="str">
        <f t="shared" ca="1" si="25"/>
        <v/>
      </c>
      <c r="L520" s="7" t="str">
        <f t="shared" ca="1" si="26"/>
        <v/>
      </c>
    </row>
    <row r="521" spans="8:12" x14ac:dyDescent="0.25">
      <c r="H521" s="10" t="str">
        <f>IF(G521="","",VLOOKUP(G521,MEGHBELA!$A$2:$C$100,3,FALSE))</f>
        <v/>
      </c>
      <c r="I521" s="18"/>
      <c r="J521" s="22" t="str">
        <f t="shared" si="24"/>
        <v/>
      </c>
      <c r="K521" s="10" t="str">
        <f t="shared" ca="1" si="25"/>
        <v/>
      </c>
      <c r="L521" s="7" t="str">
        <f t="shared" ca="1" si="26"/>
        <v/>
      </c>
    </row>
    <row r="522" spans="8:12" x14ac:dyDescent="0.25">
      <c r="H522" s="10" t="str">
        <f>IF(G522="","",VLOOKUP(G522,MEGHBELA!$A$2:$C$100,3,FALSE))</f>
        <v/>
      </c>
      <c r="I522" s="19"/>
      <c r="J522" s="22" t="str">
        <f t="shared" si="24"/>
        <v/>
      </c>
      <c r="K522" s="10" t="str">
        <f t="shared" ca="1" si="25"/>
        <v/>
      </c>
      <c r="L522" s="7" t="str">
        <f t="shared" ca="1" si="26"/>
        <v/>
      </c>
    </row>
    <row r="523" spans="8:12" x14ac:dyDescent="0.25">
      <c r="H523" s="10" t="str">
        <f>IF(G523="","",VLOOKUP(G523,MEGHBELA!$A$2:$C$100,3,FALSE))</f>
        <v/>
      </c>
      <c r="I523" s="18"/>
      <c r="J523" s="22" t="str">
        <f t="shared" si="24"/>
        <v/>
      </c>
      <c r="K523" s="10" t="str">
        <f t="shared" ca="1" si="25"/>
        <v/>
      </c>
      <c r="L523" s="7" t="str">
        <f t="shared" ca="1" si="26"/>
        <v/>
      </c>
    </row>
    <row r="524" spans="8:12" x14ac:dyDescent="0.25">
      <c r="H524" s="10" t="str">
        <f>IF(G524="","",VLOOKUP(G524,MEGHBELA!$A$2:$C$100,3,FALSE))</f>
        <v/>
      </c>
      <c r="I524" s="19"/>
      <c r="J524" s="22" t="str">
        <f t="shared" si="24"/>
        <v/>
      </c>
      <c r="K524" s="10" t="str">
        <f t="shared" ca="1" si="25"/>
        <v/>
      </c>
      <c r="L524" s="7" t="str">
        <f t="shared" ca="1" si="26"/>
        <v/>
      </c>
    </row>
    <row r="525" spans="8:12" x14ac:dyDescent="0.25">
      <c r="H525" s="10" t="str">
        <f>IF(G525="","",VLOOKUP(G525,MEGHBELA!$A$2:$C$100,3,FALSE))</f>
        <v/>
      </c>
      <c r="I525" s="18"/>
      <c r="J525" s="22" t="str">
        <f t="shared" si="24"/>
        <v/>
      </c>
      <c r="K525" s="10" t="str">
        <f t="shared" ca="1" si="25"/>
        <v/>
      </c>
      <c r="L525" s="7" t="str">
        <f t="shared" ca="1" si="26"/>
        <v/>
      </c>
    </row>
    <row r="526" spans="8:12" x14ac:dyDescent="0.25">
      <c r="H526" s="10" t="str">
        <f>IF(G526="","",VLOOKUP(G526,MEGHBELA!$A$2:$C$100,3,FALSE))</f>
        <v/>
      </c>
      <c r="I526" s="19"/>
      <c r="J526" s="22" t="str">
        <f t="shared" si="24"/>
        <v/>
      </c>
      <c r="K526" s="10" t="str">
        <f t="shared" ca="1" si="25"/>
        <v/>
      </c>
      <c r="L526" s="7" t="str">
        <f t="shared" ca="1" si="26"/>
        <v/>
      </c>
    </row>
    <row r="527" spans="8:12" x14ac:dyDescent="0.25">
      <c r="H527" s="10" t="str">
        <f>IF(G527="","",VLOOKUP(G527,MEGHBELA!$A$2:$C$100,3,FALSE))</f>
        <v/>
      </c>
      <c r="I527" s="18"/>
      <c r="J527" s="22" t="str">
        <f t="shared" si="24"/>
        <v/>
      </c>
      <c r="K527" s="10" t="str">
        <f t="shared" ca="1" si="25"/>
        <v/>
      </c>
      <c r="L527" s="7" t="str">
        <f t="shared" ca="1" si="26"/>
        <v/>
      </c>
    </row>
    <row r="528" spans="8:12" x14ac:dyDescent="0.25">
      <c r="H528" s="10" t="str">
        <f>IF(G528="","",VLOOKUP(G528,MEGHBELA!$A$2:$C$100,3,FALSE))</f>
        <v/>
      </c>
      <c r="I528" s="19"/>
      <c r="J528" s="22" t="str">
        <f t="shared" si="24"/>
        <v/>
      </c>
      <c r="K528" s="10" t="str">
        <f t="shared" ca="1" si="25"/>
        <v/>
      </c>
      <c r="L528" s="7" t="str">
        <f t="shared" ca="1" si="26"/>
        <v/>
      </c>
    </row>
    <row r="529" spans="8:12" x14ac:dyDescent="0.25">
      <c r="H529" s="10" t="str">
        <f>IF(G529="","",VLOOKUP(G529,MEGHBELA!$A$2:$C$100,3,FALSE))</f>
        <v/>
      </c>
      <c r="I529" s="18"/>
      <c r="J529" s="22" t="str">
        <f t="shared" si="24"/>
        <v/>
      </c>
      <c r="K529" s="10" t="str">
        <f t="shared" ca="1" si="25"/>
        <v/>
      </c>
      <c r="L529" s="7" t="str">
        <f t="shared" ca="1" si="26"/>
        <v/>
      </c>
    </row>
    <row r="530" spans="8:12" x14ac:dyDescent="0.25">
      <c r="H530" s="10" t="str">
        <f>IF(G530="","",VLOOKUP(G530,MEGHBELA!$A$2:$C$100,3,FALSE))</f>
        <v/>
      </c>
      <c r="I530" s="19"/>
      <c r="J530" s="22" t="str">
        <f t="shared" si="24"/>
        <v/>
      </c>
      <c r="K530" s="10" t="str">
        <f t="shared" ca="1" si="25"/>
        <v/>
      </c>
      <c r="L530" s="7" t="str">
        <f t="shared" ca="1" si="26"/>
        <v/>
      </c>
    </row>
    <row r="531" spans="8:12" x14ac:dyDescent="0.25">
      <c r="H531" s="10" t="str">
        <f>IF(G531="","",VLOOKUP(G531,MEGHBELA!$A$2:$C$100,3,FALSE))</f>
        <v/>
      </c>
      <c r="I531" s="18"/>
      <c r="J531" s="22" t="str">
        <f t="shared" si="24"/>
        <v/>
      </c>
      <c r="K531" s="10" t="str">
        <f t="shared" ca="1" si="25"/>
        <v/>
      </c>
      <c r="L531" s="7" t="str">
        <f t="shared" ca="1" si="26"/>
        <v/>
      </c>
    </row>
    <row r="532" spans="8:12" x14ac:dyDescent="0.25">
      <c r="H532" s="10" t="str">
        <f>IF(G532="","",VLOOKUP(G532,MEGHBELA!$A$2:$C$100,3,FALSE))</f>
        <v/>
      </c>
      <c r="I532" s="19"/>
      <c r="J532" s="22" t="str">
        <f t="shared" si="24"/>
        <v/>
      </c>
      <c r="K532" s="10" t="str">
        <f t="shared" ca="1" si="25"/>
        <v/>
      </c>
      <c r="L532" s="7" t="str">
        <f t="shared" ca="1" si="26"/>
        <v/>
      </c>
    </row>
    <row r="533" spans="8:12" x14ac:dyDescent="0.25">
      <c r="H533" s="10" t="str">
        <f>IF(G533="","",VLOOKUP(G533,MEGHBELA!$A$2:$C$100,3,FALSE))</f>
        <v/>
      </c>
      <c r="I533" s="18"/>
      <c r="J533" s="22" t="str">
        <f t="shared" si="24"/>
        <v/>
      </c>
      <c r="K533" s="10" t="str">
        <f t="shared" ca="1" si="25"/>
        <v/>
      </c>
      <c r="L533" s="7" t="str">
        <f t="shared" ca="1" si="26"/>
        <v/>
      </c>
    </row>
    <row r="534" spans="8:12" x14ac:dyDescent="0.25">
      <c r="H534" s="10" t="str">
        <f>IF(G534="","",VLOOKUP(G534,MEGHBELA!$A$2:$C$100,3,FALSE))</f>
        <v/>
      </c>
      <c r="I534" s="19"/>
      <c r="J534" s="22" t="str">
        <f t="shared" si="24"/>
        <v/>
      </c>
      <c r="K534" s="10" t="str">
        <f t="shared" ca="1" si="25"/>
        <v/>
      </c>
      <c r="L534" s="7" t="str">
        <f t="shared" ca="1" si="26"/>
        <v/>
      </c>
    </row>
    <row r="535" spans="8:12" x14ac:dyDescent="0.25">
      <c r="H535" s="10" t="str">
        <f>IF(G535="","",VLOOKUP(G535,MEGHBELA!$A$2:$C$100,3,FALSE))</f>
        <v/>
      </c>
      <c r="I535" s="18"/>
      <c r="J535" s="22" t="str">
        <f t="shared" si="24"/>
        <v/>
      </c>
      <c r="K535" s="10" t="str">
        <f t="shared" ca="1" si="25"/>
        <v/>
      </c>
      <c r="L535" s="7" t="str">
        <f t="shared" ca="1" si="26"/>
        <v/>
      </c>
    </row>
    <row r="536" spans="8:12" x14ac:dyDescent="0.25">
      <c r="H536" s="10" t="str">
        <f>IF(G536="","",VLOOKUP(G536,MEGHBELA!$A$2:$C$100,3,FALSE))</f>
        <v/>
      </c>
      <c r="I536" s="19"/>
      <c r="J536" s="22" t="str">
        <f t="shared" si="24"/>
        <v/>
      </c>
      <c r="K536" s="10" t="str">
        <f t="shared" ca="1" si="25"/>
        <v/>
      </c>
      <c r="L536" s="7" t="str">
        <f t="shared" ca="1" si="26"/>
        <v/>
      </c>
    </row>
    <row r="537" spans="8:12" x14ac:dyDescent="0.25">
      <c r="H537" s="10" t="str">
        <f>IF(G537="","",VLOOKUP(G537,MEGHBELA!$A$2:$C$100,3,FALSE))</f>
        <v/>
      </c>
      <c r="I537" s="18"/>
      <c r="J537" s="22" t="str">
        <f t="shared" si="24"/>
        <v/>
      </c>
      <c r="K537" s="10" t="str">
        <f t="shared" ca="1" si="25"/>
        <v/>
      </c>
      <c r="L537" s="7" t="str">
        <f t="shared" ca="1" si="26"/>
        <v/>
      </c>
    </row>
    <row r="538" spans="8:12" x14ac:dyDescent="0.25">
      <c r="H538" s="10" t="str">
        <f>IF(G538="","",VLOOKUP(G538,MEGHBELA!$A$2:$C$100,3,FALSE))</f>
        <v/>
      </c>
      <c r="I538" s="19"/>
      <c r="J538" s="22" t="str">
        <f t="shared" si="24"/>
        <v/>
      </c>
      <c r="K538" s="10" t="str">
        <f t="shared" ca="1" si="25"/>
        <v/>
      </c>
      <c r="L538" s="7" t="str">
        <f t="shared" ca="1" si="26"/>
        <v/>
      </c>
    </row>
    <row r="539" spans="8:12" x14ac:dyDescent="0.25">
      <c r="H539" s="10" t="str">
        <f>IF(G539="","",VLOOKUP(G539,MEGHBELA!$A$2:$C$100,3,FALSE))</f>
        <v/>
      </c>
      <c r="I539" s="18"/>
      <c r="J539" s="22" t="str">
        <f t="shared" si="24"/>
        <v/>
      </c>
      <c r="K539" s="10" t="str">
        <f t="shared" ca="1" si="25"/>
        <v/>
      </c>
      <c r="L539" s="7" t="str">
        <f t="shared" ca="1" si="26"/>
        <v/>
      </c>
    </row>
    <row r="540" spans="8:12" x14ac:dyDescent="0.25">
      <c r="H540" s="10" t="str">
        <f>IF(G540="","",VLOOKUP(G540,MEGHBELA!$A$2:$C$100,3,FALSE))</f>
        <v/>
      </c>
      <c r="I540" s="19"/>
      <c r="J540" s="22" t="str">
        <f t="shared" si="24"/>
        <v/>
      </c>
      <c r="K540" s="10" t="str">
        <f t="shared" ca="1" si="25"/>
        <v/>
      </c>
      <c r="L540" s="7" t="str">
        <f t="shared" ca="1" si="26"/>
        <v/>
      </c>
    </row>
    <row r="541" spans="8:12" x14ac:dyDescent="0.25">
      <c r="H541" s="10" t="str">
        <f>IF(G541="","",VLOOKUP(G541,MEGHBELA!$A$2:$C$100,3,FALSE))</f>
        <v/>
      </c>
      <c r="I541" s="18"/>
      <c r="J541" s="22" t="str">
        <f t="shared" si="24"/>
        <v/>
      </c>
      <c r="K541" s="10" t="str">
        <f t="shared" ca="1" si="25"/>
        <v/>
      </c>
      <c r="L541" s="7" t="str">
        <f t="shared" ca="1" si="26"/>
        <v/>
      </c>
    </row>
    <row r="542" spans="8:12" x14ac:dyDescent="0.25">
      <c r="H542" s="10" t="str">
        <f>IF(G542="","",VLOOKUP(G542,MEGHBELA!$A$2:$C$100,3,FALSE))</f>
        <v/>
      </c>
      <c r="I542" s="19"/>
      <c r="J542" s="22" t="str">
        <f t="shared" si="24"/>
        <v/>
      </c>
      <c r="K542" s="10" t="str">
        <f t="shared" ca="1" si="25"/>
        <v/>
      </c>
      <c r="L542" s="7" t="str">
        <f t="shared" ca="1" si="26"/>
        <v/>
      </c>
    </row>
    <row r="543" spans="8:12" x14ac:dyDescent="0.25">
      <c r="H543" s="10" t="str">
        <f>IF(G543="","",VLOOKUP(G543,MEGHBELA!$A$2:$C$100,3,FALSE))</f>
        <v/>
      </c>
      <c r="I543" s="18"/>
      <c r="J543" s="22" t="str">
        <f t="shared" si="24"/>
        <v/>
      </c>
      <c r="K543" s="10" t="str">
        <f t="shared" ca="1" si="25"/>
        <v/>
      </c>
      <c r="L543" s="7" t="str">
        <f t="shared" ca="1" si="26"/>
        <v/>
      </c>
    </row>
    <row r="544" spans="8:12" x14ac:dyDescent="0.25">
      <c r="H544" s="10" t="str">
        <f>IF(G544="","",VLOOKUP(G544,MEGHBELA!$A$2:$C$100,3,FALSE))</f>
        <v/>
      </c>
      <c r="I544" s="19"/>
      <c r="J544" s="22" t="str">
        <f t="shared" si="24"/>
        <v/>
      </c>
      <c r="K544" s="10" t="str">
        <f t="shared" ca="1" si="25"/>
        <v/>
      </c>
      <c r="L544" s="7" t="str">
        <f t="shared" ca="1" si="26"/>
        <v/>
      </c>
    </row>
    <row r="545" spans="8:12" x14ac:dyDescent="0.25">
      <c r="H545" s="10" t="str">
        <f>IF(G545="","",VLOOKUP(G545,MEGHBELA!$A$2:$C$100,3,FALSE))</f>
        <v/>
      </c>
      <c r="I545" s="18"/>
      <c r="J545" s="22" t="str">
        <f t="shared" si="24"/>
        <v/>
      </c>
      <c r="K545" s="10" t="str">
        <f t="shared" ca="1" si="25"/>
        <v/>
      </c>
      <c r="L545" s="7" t="str">
        <f t="shared" ca="1" si="26"/>
        <v/>
      </c>
    </row>
    <row r="546" spans="8:12" x14ac:dyDescent="0.25">
      <c r="H546" s="10" t="str">
        <f>IF(G546="","",VLOOKUP(G546,MEGHBELA!$A$2:$C$100,3,FALSE))</f>
        <v/>
      </c>
      <c r="I546" s="19"/>
      <c r="J546" s="22" t="str">
        <f t="shared" si="24"/>
        <v/>
      </c>
      <c r="K546" s="10" t="str">
        <f t="shared" ca="1" si="25"/>
        <v/>
      </c>
      <c r="L546" s="7" t="str">
        <f t="shared" ca="1" si="26"/>
        <v/>
      </c>
    </row>
    <row r="547" spans="8:12" x14ac:dyDescent="0.25">
      <c r="H547" s="10" t="str">
        <f>IF(G547="","",VLOOKUP(G547,MEGHBELA!$A$2:$C$100,3,FALSE))</f>
        <v/>
      </c>
      <c r="I547" s="18"/>
      <c r="J547" s="22" t="str">
        <f t="shared" si="24"/>
        <v/>
      </c>
      <c r="K547" s="10" t="str">
        <f t="shared" ca="1" si="25"/>
        <v/>
      </c>
      <c r="L547" s="7" t="str">
        <f t="shared" ca="1" si="26"/>
        <v/>
      </c>
    </row>
    <row r="548" spans="8:12" x14ac:dyDescent="0.25">
      <c r="H548" s="10" t="str">
        <f>IF(G548="","",VLOOKUP(G548,MEGHBELA!$A$2:$C$100,3,FALSE))</f>
        <v/>
      </c>
      <c r="I548" s="19"/>
      <c r="J548" s="22" t="str">
        <f t="shared" si="24"/>
        <v/>
      </c>
      <c r="K548" s="10" t="str">
        <f t="shared" ca="1" si="25"/>
        <v/>
      </c>
      <c r="L548" s="7" t="str">
        <f t="shared" ca="1" si="26"/>
        <v/>
      </c>
    </row>
    <row r="549" spans="8:12" x14ac:dyDescent="0.25">
      <c r="H549" s="10" t="str">
        <f>IF(G549="","",VLOOKUP(G549,MEGHBELA!$A$2:$C$100,3,FALSE))</f>
        <v/>
      </c>
      <c r="I549" s="18"/>
      <c r="J549" s="22" t="str">
        <f t="shared" si="24"/>
        <v/>
      </c>
      <c r="K549" s="10" t="str">
        <f t="shared" ca="1" si="25"/>
        <v/>
      </c>
      <c r="L549" s="7" t="str">
        <f t="shared" ca="1" si="26"/>
        <v/>
      </c>
    </row>
    <row r="550" spans="8:12" x14ac:dyDescent="0.25">
      <c r="H550" s="10" t="str">
        <f>IF(G550="","",VLOOKUP(G550,MEGHBELA!$A$2:$C$100,3,FALSE))</f>
        <v/>
      </c>
      <c r="I550" s="19"/>
      <c r="J550" s="22" t="str">
        <f t="shared" si="24"/>
        <v/>
      </c>
      <c r="K550" s="10" t="str">
        <f t="shared" ca="1" si="25"/>
        <v/>
      </c>
      <c r="L550" s="7" t="str">
        <f t="shared" ca="1" si="26"/>
        <v/>
      </c>
    </row>
    <row r="551" spans="8:12" x14ac:dyDescent="0.25">
      <c r="H551" s="10" t="str">
        <f>IF(G551="","",VLOOKUP(G551,MEGHBELA!$A$2:$C$100,3,FALSE))</f>
        <v/>
      </c>
      <c r="I551" s="18"/>
      <c r="J551" s="22" t="str">
        <f t="shared" si="24"/>
        <v/>
      </c>
      <c r="K551" s="10" t="str">
        <f t="shared" ca="1" si="25"/>
        <v/>
      </c>
      <c r="L551" s="7" t="str">
        <f t="shared" ca="1" si="26"/>
        <v/>
      </c>
    </row>
    <row r="552" spans="8:12" x14ac:dyDescent="0.25">
      <c r="H552" s="10" t="str">
        <f>IF(G552="","",VLOOKUP(G552,MEGHBELA!$A$2:$C$100,3,FALSE))</f>
        <v/>
      </c>
      <c r="I552" s="19"/>
      <c r="J552" s="22" t="str">
        <f t="shared" si="24"/>
        <v/>
      </c>
      <c r="K552" s="10" t="str">
        <f t="shared" ca="1" si="25"/>
        <v/>
      </c>
      <c r="L552" s="7" t="str">
        <f t="shared" ca="1" si="26"/>
        <v/>
      </c>
    </row>
    <row r="553" spans="8:12" x14ac:dyDescent="0.25">
      <c r="H553" s="10" t="str">
        <f>IF(G553="","",VLOOKUP(G553,MEGHBELA!$A$2:$C$100,3,FALSE))</f>
        <v/>
      </c>
      <c r="I553" s="18"/>
      <c r="J553" s="22" t="str">
        <f t="shared" si="24"/>
        <v/>
      </c>
      <c r="K553" s="10" t="str">
        <f t="shared" ca="1" si="25"/>
        <v/>
      </c>
      <c r="L553" s="7" t="str">
        <f t="shared" ca="1" si="26"/>
        <v/>
      </c>
    </row>
    <row r="554" spans="8:12" x14ac:dyDescent="0.25">
      <c r="H554" s="10" t="str">
        <f>IF(G554="","",VLOOKUP(G554,MEGHBELA!$A$2:$C$100,3,FALSE))</f>
        <v/>
      </c>
      <c r="I554" s="19"/>
      <c r="J554" s="22" t="str">
        <f t="shared" si="24"/>
        <v/>
      </c>
      <c r="K554" s="10" t="str">
        <f t="shared" ca="1" si="25"/>
        <v/>
      </c>
      <c r="L554" s="7" t="str">
        <f t="shared" ca="1" si="26"/>
        <v/>
      </c>
    </row>
    <row r="555" spans="8:12" x14ac:dyDescent="0.25">
      <c r="H555" s="10" t="str">
        <f>IF(G555="","",VLOOKUP(G555,MEGHBELA!$A$2:$C$100,3,FALSE))</f>
        <v/>
      </c>
      <c r="I555" s="18"/>
      <c r="J555" s="22" t="str">
        <f t="shared" si="24"/>
        <v/>
      </c>
      <c r="K555" s="10" t="str">
        <f t="shared" ca="1" si="25"/>
        <v/>
      </c>
      <c r="L555" s="7" t="str">
        <f t="shared" ca="1" si="26"/>
        <v/>
      </c>
    </row>
    <row r="556" spans="8:12" x14ac:dyDescent="0.25">
      <c r="H556" s="10" t="str">
        <f>IF(G556="","",VLOOKUP(G556,MEGHBELA!$A$2:$C$100,3,FALSE))</f>
        <v/>
      </c>
      <c r="I556" s="19"/>
      <c r="J556" s="22" t="str">
        <f t="shared" si="24"/>
        <v/>
      </c>
      <c r="K556" s="10" t="str">
        <f t="shared" ca="1" si="25"/>
        <v/>
      </c>
      <c r="L556" s="7" t="str">
        <f t="shared" ca="1" si="26"/>
        <v/>
      </c>
    </row>
    <row r="557" spans="8:12" x14ac:dyDescent="0.25">
      <c r="H557" s="10" t="str">
        <f>IF(G557="","",VLOOKUP(G557,MEGHBELA!$A$2:$C$100,3,FALSE))</f>
        <v/>
      </c>
      <c r="I557" s="18"/>
      <c r="J557" s="22" t="str">
        <f t="shared" si="24"/>
        <v/>
      </c>
      <c r="K557" s="10" t="str">
        <f t="shared" ca="1" si="25"/>
        <v/>
      </c>
      <c r="L557" s="7" t="str">
        <f t="shared" ca="1" si="26"/>
        <v/>
      </c>
    </row>
    <row r="558" spans="8:12" x14ac:dyDescent="0.25">
      <c r="H558" s="10" t="str">
        <f>IF(G558="","",VLOOKUP(G558,MEGHBELA!$A$2:$C$100,3,FALSE))</f>
        <v/>
      </c>
      <c r="I558" s="19"/>
      <c r="J558" s="22" t="str">
        <f t="shared" si="24"/>
        <v/>
      </c>
      <c r="K558" s="10" t="str">
        <f t="shared" ca="1" si="25"/>
        <v/>
      </c>
      <c r="L558" s="7" t="str">
        <f t="shared" ca="1" si="26"/>
        <v/>
      </c>
    </row>
    <row r="559" spans="8:12" x14ac:dyDescent="0.25">
      <c r="H559" s="10" t="str">
        <f>IF(G559="","",VLOOKUP(G559,MEGHBELA!$A$2:$C$100,3,FALSE))</f>
        <v/>
      </c>
      <c r="I559" s="18"/>
      <c r="J559" s="22" t="str">
        <f t="shared" si="24"/>
        <v/>
      </c>
      <c r="K559" s="10" t="str">
        <f t="shared" ca="1" si="25"/>
        <v/>
      </c>
      <c r="L559" s="7" t="str">
        <f t="shared" ca="1" si="26"/>
        <v/>
      </c>
    </row>
    <row r="560" spans="8:12" x14ac:dyDescent="0.25">
      <c r="H560" s="10" t="str">
        <f>IF(G560="","",VLOOKUP(G560,MEGHBELA!$A$2:$C$100,3,FALSE))</f>
        <v/>
      </c>
      <c r="I560" s="19"/>
      <c r="J560" s="22" t="str">
        <f t="shared" si="24"/>
        <v/>
      </c>
      <c r="K560" s="10" t="str">
        <f t="shared" ca="1" si="25"/>
        <v/>
      </c>
      <c r="L560" s="7" t="str">
        <f t="shared" ca="1" si="26"/>
        <v/>
      </c>
    </row>
    <row r="561" spans="8:12" x14ac:dyDescent="0.25">
      <c r="H561" s="10" t="str">
        <f>IF(G561="","",VLOOKUP(G561,MEGHBELA!$A$2:$C$100,3,FALSE))</f>
        <v/>
      </c>
      <c r="I561" s="18"/>
      <c r="J561" s="22" t="str">
        <f t="shared" si="24"/>
        <v/>
      </c>
      <c r="K561" s="10" t="str">
        <f t="shared" ca="1" si="25"/>
        <v/>
      </c>
      <c r="L561" s="7" t="str">
        <f t="shared" ca="1" si="26"/>
        <v/>
      </c>
    </row>
    <row r="562" spans="8:12" x14ac:dyDescent="0.25">
      <c r="H562" s="10" t="str">
        <f>IF(G562="","",VLOOKUP(G562,MEGHBELA!$A$2:$C$100,3,FALSE))</f>
        <v/>
      </c>
      <c r="I562" s="19"/>
      <c r="J562" s="22" t="str">
        <f t="shared" si="24"/>
        <v/>
      </c>
      <c r="K562" s="10" t="str">
        <f t="shared" ca="1" si="25"/>
        <v/>
      </c>
      <c r="L562" s="7" t="str">
        <f t="shared" ca="1" si="26"/>
        <v/>
      </c>
    </row>
    <row r="563" spans="8:12" x14ac:dyDescent="0.25">
      <c r="H563" s="10" t="str">
        <f>IF(G563="","",VLOOKUP(G563,MEGHBELA!$A$2:$C$100,3,FALSE))</f>
        <v/>
      </c>
      <c r="I563" s="18"/>
      <c r="J563" s="22" t="str">
        <f t="shared" si="24"/>
        <v/>
      </c>
      <c r="K563" s="10" t="str">
        <f t="shared" ca="1" si="25"/>
        <v/>
      </c>
      <c r="L563" s="7" t="str">
        <f t="shared" ca="1" si="26"/>
        <v/>
      </c>
    </row>
    <row r="564" spans="8:12" x14ac:dyDescent="0.25">
      <c r="H564" s="10" t="str">
        <f>IF(G564="","",VLOOKUP(G564,MEGHBELA!$A$2:$C$100,3,FALSE))</f>
        <v/>
      </c>
      <c r="I564" s="19"/>
      <c r="J564" s="22" t="str">
        <f t="shared" si="24"/>
        <v/>
      </c>
      <c r="K564" s="10" t="str">
        <f t="shared" ca="1" si="25"/>
        <v/>
      </c>
      <c r="L564" s="7" t="str">
        <f t="shared" ca="1" si="26"/>
        <v/>
      </c>
    </row>
    <row r="565" spans="8:12" x14ac:dyDescent="0.25">
      <c r="H565" s="10" t="str">
        <f>IF(G565="","",VLOOKUP(G565,MEGHBELA!$A$2:$C$100,3,FALSE))</f>
        <v/>
      </c>
      <c r="I565" s="18"/>
      <c r="J565" s="22" t="str">
        <f t="shared" si="24"/>
        <v/>
      </c>
      <c r="K565" s="10" t="str">
        <f t="shared" ca="1" si="25"/>
        <v/>
      </c>
      <c r="L565" s="7" t="str">
        <f t="shared" ca="1" si="26"/>
        <v/>
      </c>
    </row>
    <row r="566" spans="8:12" x14ac:dyDescent="0.25">
      <c r="H566" s="10" t="str">
        <f>IF(G566="","",VLOOKUP(G566,MEGHBELA!$A$2:$C$100,3,FALSE))</f>
        <v/>
      </c>
      <c r="I566" s="19"/>
      <c r="J566" s="22" t="str">
        <f t="shared" si="24"/>
        <v/>
      </c>
      <c r="K566" s="10" t="str">
        <f t="shared" ca="1" si="25"/>
        <v/>
      </c>
      <c r="L566" s="7" t="str">
        <f t="shared" ca="1" si="26"/>
        <v/>
      </c>
    </row>
    <row r="567" spans="8:12" x14ac:dyDescent="0.25">
      <c r="H567" s="10" t="str">
        <f>IF(G567="","",VLOOKUP(G567,MEGHBELA!$A$2:$C$100,3,FALSE))</f>
        <v/>
      </c>
      <c r="I567" s="18"/>
      <c r="J567" s="22" t="str">
        <f t="shared" si="24"/>
        <v/>
      </c>
      <c r="K567" s="10" t="str">
        <f t="shared" ca="1" si="25"/>
        <v/>
      </c>
      <c r="L567" s="7" t="str">
        <f t="shared" ca="1" si="26"/>
        <v/>
      </c>
    </row>
    <row r="568" spans="8:12" x14ac:dyDescent="0.25">
      <c r="H568" s="10" t="str">
        <f>IF(G568="","",VLOOKUP(G568,MEGHBELA!$A$2:$C$100,3,FALSE))</f>
        <v/>
      </c>
      <c r="I568" s="19"/>
      <c r="J568" s="22" t="str">
        <f t="shared" si="24"/>
        <v/>
      </c>
      <c r="K568" s="10" t="str">
        <f t="shared" ca="1" si="25"/>
        <v/>
      </c>
      <c r="L568" s="7" t="str">
        <f t="shared" ca="1" si="26"/>
        <v/>
      </c>
    </row>
    <row r="569" spans="8:12" x14ac:dyDescent="0.25">
      <c r="H569" s="10" t="str">
        <f>IF(G569="","",VLOOKUP(G569,MEGHBELA!$A$2:$C$100,3,FALSE))</f>
        <v/>
      </c>
      <c r="I569" s="18"/>
      <c r="J569" s="22" t="str">
        <f t="shared" si="24"/>
        <v/>
      </c>
      <c r="K569" s="10" t="str">
        <f t="shared" ca="1" si="25"/>
        <v/>
      </c>
      <c r="L569" s="7" t="str">
        <f t="shared" ca="1" si="26"/>
        <v/>
      </c>
    </row>
    <row r="570" spans="8:12" x14ac:dyDescent="0.25">
      <c r="H570" s="10" t="str">
        <f>IF(G570="","",VLOOKUP(G570,MEGHBELA!$A$2:$C$100,3,FALSE))</f>
        <v/>
      </c>
      <c r="I570" s="19"/>
      <c r="J570" s="22" t="str">
        <f t="shared" si="24"/>
        <v/>
      </c>
      <c r="K570" s="10" t="str">
        <f t="shared" ca="1" si="25"/>
        <v/>
      </c>
      <c r="L570" s="7" t="str">
        <f t="shared" ca="1" si="26"/>
        <v/>
      </c>
    </row>
    <row r="571" spans="8:12" x14ac:dyDescent="0.25">
      <c r="H571" s="10" t="str">
        <f>IF(G571="","",VLOOKUP(G571,MEGHBELA!$A$2:$C$100,3,FALSE))</f>
        <v/>
      </c>
      <c r="I571" s="18"/>
      <c r="J571" s="22" t="str">
        <f t="shared" si="24"/>
        <v/>
      </c>
      <c r="K571" s="10" t="str">
        <f t="shared" ca="1" si="25"/>
        <v/>
      </c>
      <c r="L571" s="7" t="str">
        <f t="shared" ca="1" si="26"/>
        <v/>
      </c>
    </row>
    <row r="572" spans="8:12" x14ac:dyDescent="0.25">
      <c r="H572" s="10" t="str">
        <f>IF(G572="","",VLOOKUP(G572,MEGHBELA!$A$2:$C$100,3,FALSE))</f>
        <v/>
      </c>
      <c r="I572" s="19"/>
      <c r="J572" s="22" t="str">
        <f t="shared" si="24"/>
        <v/>
      </c>
      <c r="K572" s="10" t="str">
        <f t="shared" ca="1" si="25"/>
        <v/>
      </c>
      <c r="L572" s="7" t="str">
        <f t="shared" ca="1" si="26"/>
        <v/>
      </c>
    </row>
    <row r="573" spans="8:12" x14ac:dyDescent="0.25">
      <c r="H573" s="10" t="str">
        <f>IF(G573="","",VLOOKUP(G573,MEGHBELA!$A$2:$C$100,3,FALSE))</f>
        <v/>
      </c>
      <c r="I573" s="18"/>
      <c r="J573" s="22" t="str">
        <f t="shared" si="24"/>
        <v/>
      </c>
      <c r="K573" s="10" t="str">
        <f t="shared" ca="1" si="25"/>
        <v/>
      </c>
      <c r="L573" s="7" t="str">
        <f t="shared" ca="1" si="26"/>
        <v/>
      </c>
    </row>
    <row r="574" spans="8:12" x14ac:dyDescent="0.25">
      <c r="H574" s="10" t="str">
        <f>IF(G574="","",VLOOKUP(G574,MEGHBELA!$A$2:$C$100,3,FALSE))</f>
        <v/>
      </c>
      <c r="I574" s="19"/>
      <c r="J574" s="22" t="str">
        <f t="shared" si="24"/>
        <v/>
      </c>
      <c r="K574" s="10" t="str">
        <f t="shared" ca="1" si="25"/>
        <v/>
      </c>
      <c r="L574" s="7" t="str">
        <f t="shared" ca="1" si="26"/>
        <v/>
      </c>
    </row>
    <row r="575" spans="8:12" x14ac:dyDescent="0.25">
      <c r="H575" s="10" t="str">
        <f>IF(G575="","",VLOOKUP(G575,MEGHBELA!$A$2:$C$100,3,FALSE))</f>
        <v/>
      </c>
      <c r="I575" s="18"/>
      <c r="J575" s="22" t="str">
        <f t="shared" si="24"/>
        <v/>
      </c>
      <c r="K575" s="10" t="str">
        <f t="shared" ca="1" si="25"/>
        <v/>
      </c>
      <c r="L575" s="7" t="str">
        <f t="shared" ca="1" si="26"/>
        <v/>
      </c>
    </row>
    <row r="576" spans="8:12" x14ac:dyDescent="0.25">
      <c r="H576" s="10" t="str">
        <f>IF(G576="","",VLOOKUP(G576,MEGHBELA!$A$2:$C$100,3,FALSE))</f>
        <v/>
      </c>
      <c r="I576" s="19"/>
      <c r="J576" s="22" t="str">
        <f t="shared" si="24"/>
        <v/>
      </c>
      <c r="K576" s="10" t="str">
        <f t="shared" ca="1" si="25"/>
        <v/>
      </c>
      <c r="L576" s="7" t="str">
        <f t="shared" ca="1" si="26"/>
        <v/>
      </c>
    </row>
    <row r="577" spans="8:12" x14ac:dyDescent="0.25">
      <c r="H577" s="10" t="str">
        <f>IF(G577="","",VLOOKUP(G577,MEGHBELA!$A$2:$C$100,3,FALSE))</f>
        <v/>
      </c>
      <c r="I577" s="18"/>
      <c r="J577" s="22" t="str">
        <f t="shared" si="24"/>
        <v/>
      </c>
      <c r="K577" s="10" t="str">
        <f t="shared" ca="1" si="25"/>
        <v/>
      </c>
      <c r="L577" s="7" t="str">
        <f t="shared" ca="1" si="26"/>
        <v/>
      </c>
    </row>
    <row r="578" spans="8:12" x14ac:dyDescent="0.25">
      <c r="H578" s="10" t="str">
        <f>IF(G578="","",VLOOKUP(G578,MEGHBELA!$A$2:$C$100,3,FALSE))</f>
        <v/>
      </c>
      <c r="I578" s="19"/>
      <c r="J578" s="22" t="str">
        <f t="shared" ref="J578:J641" si="27">IF(OR(I578="",H578=""),"",I578+H578)</f>
        <v/>
      </c>
      <c r="K578" s="10" t="str">
        <f t="shared" ref="K578:K641" ca="1" si="28">IF(J578="","",J578-TODAY())</f>
        <v/>
      </c>
      <c r="L578" s="7" t="str">
        <f t="shared" ref="L578:L641" ca="1" si="29">IF(K578="","",
IF(K578&lt;0,
HYPERLINK("https://web.whatsapp.com/send?phone=91"&amp;F578&amp;"&amp;text=Dear%20Customer,%20your%20internet%20plan%20expired%20on%20"&amp;TEXT(J578,"dd-mm-yyyy")&amp;".%20Your%20service%20is%20now%20stopped.%20Please%20renew%20immediately%20to%20restore%20service.%0A-----TRUESPEED%20BROADBAND","Send Stop Message"),
IF(K578&lt;=3,
HYPERLINK("https://web.whatsapp.com/send?phone=91"&amp;F578&amp;"&amp;text=Dear%20Customer,%20your%20internet%20plan%20will%20expire%20in%20"&amp;K578&amp;"%20days.%20Please%20renew%20before%20"&amp;TEXT(J578,"dd-mm-yyyy")&amp;".%0A-----TRUESPEED%20BROADBAND","Send Renewal Alert"),
"")))</f>
        <v/>
      </c>
    </row>
    <row r="579" spans="8:12" x14ac:dyDescent="0.25">
      <c r="H579" s="10" t="str">
        <f>IF(G579="","",VLOOKUP(G579,MEGHBELA!$A$2:$C$100,3,FALSE))</f>
        <v/>
      </c>
      <c r="I579" s="18"/>
      <c r="J579" s="22" t="str">
        <f t="shared" si="27"/>
        <v/>
      </c>
      <c r="K579" s="10" t="str">
        <f t="shared" ca="1" si="28"/>
        <v/>
      </c>
      <c r="L579" s="7" t="str">
        <f t="shared" ca="1" si="29"/>
        <v/>
      </c>
    </row>
    <row r="580" spans="8:12" x14ac:dyDescent="0.25">
      <c r="H580" s="10" t="str">
        <f>IF(G580="","",VLOOKUP(G580,MEGHBELA!$A$2:$C$100,3,FALSE))</f>
        <v/>
      </c>
      <c r="I580" s="19"/>
      <c r="J580" s="22" t="str">
        <f t="shared" si="27"/>
        <v/>
      </c>
      <c r="K580" s="10" t="str">
        <f t="shared" ca="1" si="28"/>
        <v/>
      </c>
      <c r="L580" s="7" t="str">
        <f t="shared" ca="1" si="29"/>
        <v/>
      </c>
    </row>
    <row r="581" spans="8:12" x14ac:dyDescent="0.25">
      <c r="H581" s="10" t="str">
        <f>IF(G581="","",VLOOKUP(G581,MEGHBELA!$A$2:$C$100,3,FALSE))</f>
        <v/>
      </c>
      <c r="I581" s="18"/>
      <c r="J581" s="22" t="str">
        <f t="shared" si="27"/>
        <v/>
      </c>
      <c r="K581" s="10" t="str">
        <f t="shared" ca="1" si="28"/>
        <v/>
      </c>
      <c r="L581" s="7" t="str">
        <f t="shared" ca="1" si="29"/>
        <v/>
      </c>
    </row>
    <row r="582" spans="8:12" x14ac:dyDescent="0.25">
      <c r="H582" s="10" t="str">
        <f>IF(G582="","",VLOOKUP(G582,MEGHBELA!$A$2:$C$100,3,FALSE))</f>
        <v/>
      </c>
      <c r="I582" s="19"/>
      <c r="J582" s="22" t="str">
        <f t="shared" si="27"/>
        <v/>
      </c>
      <c r="K582" s="10" t="str">
        <f t="shared" ca="1" si="28"/>
        <v/>
      </c>
      <c r="L582" s="7" t="str">
        <f t="shared" ca="1" si="29"/>
        <v/>
      </c>
    </row>
    <row r="583" spans="8:12" x14ac:dyDescent="0.25">
      <c r="H583" s="10" t="str">
        <f>IF(G583="","",VLOOKUP(G583,MEGHBELA!$A$2:$C$100,3,FALSE))</f>
        <v/>
      </c>
      <c r="I583" s="18"/>
      <c r="J583" s="22" t="str">
        <f t="shared" si="27"/>
        <v/>
      </c>
      <c r="K583" s="10" t="str">
        <f t="shared" ca="1" si="28"/>
        <v/>
      </c>
      <c r="L583" s="7" t="str">
        <f t="shared" ca="1" si="29"/>
        <v/>
      </c>
    </row>
    <row r="584" spans="8:12" x14ac:dyDescent="0.25">
      <c r="H584" s="10" t="str">
        <f>IF(G584="","",VLOOKUP(G584,MEGHBELA!$A$2:$C$100,3,FALSE))</f>
        <v/>
      </c>
      <c r="I584" s="19"/>
      <c r="J584" s="22" t="str">
        <f t="shared" si="27"/>
        <v/>
      </c>
      <c r="K584" s="10" t="str">
        <f t="shared" ca="1" si="28"/>
        <v/>
      </c>
      <c r="L584" s="7" t="str">
        <f t="shared" ca="1" si="29"/>
        <v/>
      </c>
    </row>
    <row r="585" spans="8:12" x14ac:dyDescent="0.25">
      <c r="H585" s="10" t="str">
        <f>IF(G585="","",VLOOKUP(G585,MEGHBELA!$A$2:$C$100,3,FALSE))</f>
        <v/>
      </c>
      <c r="I585" s="18"/>
      <c r="J585" s="22" t="str">
        <f t="shared" si="27"/>
        <v/>
      </c>
      <c r="K585" s="10" t="str">
        <f t="shared" ca="1" si="28"/>
        <v/>
      </c>
      <c r="L585" s="7" t="str">
        <f t="shared" ca="1" si="29"/>
        <v/>
      </c>
    </row>
    <row r="586" spans="8:12" x14ac:dyDescent="0.25">
      <c r="H586" s="10" t="str">
        <f>IF(G586="","",VLOOKUP(G586,MEGHBELA!$A$2:$C$100,3,FALSE))</f>
        <v/>
      </c>
      <c r="I586" s="19"/>
      <c r="J586" s="22" t="str">
        <f t="shared" si="27"/>
        <v/>
      </c>
      <c r="K586" s="10" t="str">
        <f t="shared" ca="1" si="28"/>
        <v/>
      </c>
      <c r="L586" s="7" t="str">
        <f t="shared" ca="1" si="29"/>
        <v/>
      </c>
    </row>
    <row r="587" spans="8:12" x14ac:dyDescent="0.25">
      <c r="H587" s="10" t="str">
        <f>IF(G587="","",VLOOKUP(G587,MEGHBELA!$A$2:$C$100,3,FALSE))</f>
        <v/>
      </c>
      <c r="I587" s="18"/>
      <c r="J587" s="22" t="str">
        <f t="shared" si="27"/>
        <v/>
      </c>
      <c r="K587" s="10" t="str">
        <f t="shared" ca="1" si="28"/>
        <v/>
      </c>
      <c r="L587" s="7" t="str">
        <f t="shared" ca="1" si="29"/>
        <v/>
      </c>
    </row>
    <row r="588" spans="8:12" x14ac:dyDescent="0.25">
      <c r="H588" s="10" t="str">
        <f>IF(G588="","",VLOOKUP(G588,MEGHBELA!$A$2:$C$100,3,FALSE))</f>
        <v/>
      </c>
      <c r="I588" s="19"/>
      <c r="J588" s="22" t="str">
        <f t="shared" si="27"/>
        <v/>
      </c>
      <c r="K588" s="10" t="str">
        <f t="shared" ca="1" si="28"/>
        <v/>
      </c>
      <c r="L588" s="7" t="str">
        <f t="shared" ca="1" si="29"/>
        <v/>
      </c>
    </row>
    <row r="589" spans="8:12" x14ac:dyDescent="0.25">
      <c r="H589" s="10" t="str">
        <f>IF(G589="","",VLOOKUP(G589,MEGHBELA!$A$2:$C$100,3,FALSE))</f>
        <v/>
      </c>
      <c r="I589" s="18"/>
      <c r="J589" s="22" t="str">
        <f t="shared" si="27"/>
        <v/>
      </c>
      <c r="K589" s="10" t="str">
        <f t="shared" ca="1" si="28"/>
        <v/>
      </c>
      <c r="L589" s="7" t="str">
        <f t="shared" ca="1" si="29"/>
        <v/>
      </c>
    </row>
    <row r="590" spans="8:12" x14ac:dyDescent="0.25">
      <c r="H590" s="10" t="str">
        <f>IF(G590="","",VLOOKUP(G590,MEGHBELA!$A$2:$C$100,3,FALSE))</f>
        <v/>
      </c>
      <c r="I590" s="19"/>
      <c r="J590" s="22" t="str">
        <f t="shared" si="27"/>
        <v/>
      </c>
      <c r="K590" s="10" t="str">
        <f t="shared" ca="1" si="28"/>
        <v/>
      </c>
      <c r="L590" s="7" t="str">
        <f t="shared" ca="1" si="29"/>
        <v/>
      </c>
    </row>
    <row r="591" spans="8:12" x14ac:dyDescent="0.25">
      <c r="H591" s="10" t="str">
        <f>IF(G591="","",VLOOKUP(G591,MEGHBELA!$A$2:$C$100,3,FALSE))</f>
        <v/>
      </c>
      <c r="I591" s="18"/>
      <c r="J591" s="22" t="str">
        <f t="shared" si="27"/>
        <v/>
      </c>
      <c r="K591" s="10" t="str">
        <f t="shared" ca="1" si="28"/>
        <v/>
      </c>
      <c r="L591" s="7" t="str">
        <f t="shared" ca="1" si="29"/>
        <v/>
      </c>
    </row>
    <row r="592" spans="8:12" x14ac:dyDescent="0.25">
      <c r="H592" s="10" t="str">
        <f>IF(G592="","",VLOOKUP(G592,MEGHBELA!$A$2:$C$100,3,FALSE))</f>
        <v/>
      </c>
      <c r="I592" s="19"/>
      <c r="J592" s="22" t="str">
        <f t="shared" si="27"/>
        <v/>
      </c>
      <c r="K592" s="10" t="str">
        <f t="shared" ca="1" si="28"/>
        <v/>
      </c>
      <c r="L592" s="7" t="str">
        <f t="shared" ca="1" si="29"/>
        <v/>
      </c>
    </row>
    <row r="593" spans="8:12" x14ac:dyDescent="0.25">
      <c r="H593" s="10" t="str">
        <f>IF(G593="","",VLOOKUP(G593,MEGHBELA!$A$2:$C$100,3,FALSE))</f>
        <v/>
      </c>
      <c r="I593" s="18"/>
      <c r="J593" s="22" t="str">
        <f t="shared" si="27"/>
        <v/>
      </c>
      <c r="K593" s="10" t="str">
        <f t="shared" ca="1" si="28"/>
        <v/>
      </c>
      <c r="L593" s="7" t="str">
        <f t="shared" ca="1" si="29"/>
        <v/>
      </c>
    </row>
    <row r="594" spans="8:12" x14ac:dyDescent="0.25">
      <c r="H594" s="10" t="str">
        <f>IF(G594="","",VLOOKUP(G594,MEGHBELA!$A$2:$C$100,3,FALSE))</f>
        <v/>
      </c>
      <c r="I594" s="19"/>
      <c r="J594" s="22" t="str">
        <f t="shared" si="27"/>
        <v/>
      </c>
      <c r="K594" s="10" t="str">
        <f t="shared" ca="1" si="28"/>
        <v/>
      </c>
      <c r="L594" s="7" t="str">
        <f t="shared" ca="1" si="29"/>
        <v/>
      </c>
    </row>
    <row r="595" spans="8:12" x14ac:dyDescent="0.25">
      <c r="H595" s="10" t="str">
        <f>IF(G595="","",VLOOKUP(G595,MEGHBELA!$A$2:$C$100,3,FALSE))</f>
        <v/>
      </c>
      <c r="I595" s="18"/>
      <c r="J595" s="22" t="str">
        <f t="shared" si="27"/>
        <v/>
      </c>
      <c r="K595" s="10" t="str">
        <f t="shared" ca="1" si="28"/>
        <v/>
      </c>
      <c r="L595" s="7" t="str">
        <f t="shared" ca="1" si="29"/>
        <v/>
      </c>
    </row>
    <row r="596" spans="8:12" x14ac:dyDescent="0.25">
      <c r="H596" s="10" t="str">
        <f>IF(G596="","",VLOOKUP(G596,MEGHBELA!$A$2:$C$100,3,FALSE))</f>
        <v/>
      </c>
      <c r="I596" s="19"/>
      <c r="J596" s="22" t="str">
        <f t="shared" si="27"/>
        <v/>
      </c>
      <c r="K596" s="10" t="str">
        <f t="shared" ca="1" si="28"/>
        <v/>
      </c>
      <c r="L596" s="7" t="str">
        <f t="shared" ca="1" si="29"/>
        <v/>
      </c>
    </row>
    <row r="597" spans="8:12" x14ac:dyDescent="0.25">
      <c r="H597" s="10" t="str">
        <f>IF(G597="","",VLOOKUP(G597,MEGHBELA!$A$2:$C$100,3,FALSE))</f>
        <v/>
      </c>
      <c r="I597" s="18"/>
      <c r="J597" s="22" t="str">
        <f t="shared" si="27"/>
        <v/>
      </c>
      <c r="K597" s="10" t="str">
        <f t="shared" ca="1" si="28"/>
        <v/>
      </c>
      <c r="L597" s="7" t="str">
        <f t="shared" ca="1" si="29"/>
        <v/>
      </c>
    </row>
    <row r="598" spans="8:12" x14ac:dyDescent="0.25">
      <c r="H598" s="10" t="str">
        <f>IF(G598="","",VLOOKUP(G598,MEGHBELA!$A$2:$C$100,3,FALSE))</f>
        <v/>
      </c>
      <c r="I598" s="19"/>
      <c r="J598" s="22" t="str">
        <f t="shared" si="27"/>
        <v/>
      </c>
      <c r="K598" s="10" t="str">
        <f t="shared" ca="1" si="28"/>
        <v/>
      </c>
      <c r="L598" s="7" t="str">
        <f t="shared" ca="1" si="29"/>
        <v/>
      </c>
    </row>
    <row r="599" spans="8:12" x14ac:dyDescent="0.25">
      <c r="H599" s="10" t="str">
        <f>IF(G599="","",VLOOKUP(G599,MEGHBELA!$A$2:$C$100,3,FALSE))</f>
        <v/>
      </c>
      <c r="I599" s="18"/>
      <c r="J599" s="22" t="str">
        <f t="shared" si="27"/>
        <v/>
      </c>
      <c r="K599" s="10" t="str">
        <f t="shared" ca="1" si="28"/>
        <v/>
      </c>
      <c r="L599" s="7" t="str">
        <f t="shared" ca="1" si="29"/>
        <v/>
      </c>
    </row>
    <row r="600" spans="8:12" x14ac:dyDescent="0.25">
      <c r="H600" s="10" t="str">
        <f>IF(G600="","",VLOOKUP(G600,MEGHBELA!$A$2:$C$100,3,FALSE))</f>
        <v/>
      </c>
      <c r="I600" s="19"/>
      <c r="J600" s="22" t="str">
        <f t="shared" si="27"/>
        <v/>
      </c>
      <c r="K600" s="10" t="str">
        <f t="shared" ca="1" si="28"/>
        <v/>
      </c>
      <c r="L600" s="7" t="str">
        <f t="shared" ca="1" si="29"/>
        <v/>
      </c>
    </row>
    <row r="601" spans="8:12" x14ac:dyDescent="0.25">
      <c r="H601" s="10" t="str">
        <f>IF(G601="","",VLOOKUP(G601,MEGHBELA!$A$2:$C$100,3,FALSE))</f>
        <v/>
      </c>
      <c r="I601" s="18"/>
      <c r="J601" s="22" t="str">
        <f t="shared" si="27"/>
        <v/>
      </c>
      <c r="K601" s="10" t="str">
        <f t="shared" ca="1" si="28"/>
        <v/>
      </c>
      <c r="L601" s="7" t="str">
        <f t="shared" ca="1" si="29"/>
        <v/>
      </c>
    </row>
    <row r="602" spans="8:12" x14ac:dyDescent="0.25">
      <c r="H602" s="10" t="str">
        <f>IF(G602="","",VLOOKUP(G602,MEGHBELA!$A$2:$C$100,3,FALSE))</f>
        <v/>
      </c>
      <c r="I602" s="19"/>
      <c r="J602" s="22" t="str">
        <f t="shared" si="27"/>
        <v/>
      </c>
      <c r="K602" s="10" t="str">
        <f t="shared" ca="1" si="28"/>
        <v/>
      </c>
      <c r="L602" s="7" t="str">
        <f t="shared" ca="1" si="29"/>
        <v/>
      </c>
    </row>
    <row r="603" spans="8:12" x14ac:dyDescent="0.25">
      <c r="H603" s="10" t="str">
        <f>IF(G603="","",VLOOKUP(G603,MEGHBELA!$A$2:$C$100,3,FALSE))</f>
        <v/>
      </c>
      <c r="I603" s="18"/>
      <c r="J603" s="22" t="str">
        <f t="shared" si="27"/>
        <v/>
      </c>
      <c r="K603" s="10" t="str">
        <f t="shared" ca="1" si="28"/>
        <v/>
      </c>
      <c r="L603" s="7" t="str">
        <f t="shared" ca="1" si="29"/>
        <v/>
      </c>
    </row>
    <row r="604" spans="8:12" x14ac:dyDescent="0.25">
      <c r="H604" s="10" t="str">
        <f>IF(G604="","",VLOOKUP(G604,MEGHBELA!$A$2:$C$100,3,FALSE))</f>
        <v/>
      </c>
      <c r="I604" s="19"/>
      <c r="J604" s="22" t="str">
        <f t="shared" si="27"/>
        <v/>
      </c>
      <c r="K604" s="10" t="str">
        <f t="shared" ca="1" si="28"/>
        <v/>
      </c>
      <c r="L604" s="7" t="str">
        <f t="shared" ca="1" si="29"/>
        <v/>
      </c>
    </row>
    <row r="605" spans="8:12" x14ac:dyDescent="0.25">
      <c r="H605" s="10" t="str">
        <f>IF(G605="","",VLOOKUP(G605,MEGHBELA!$A$2:$C$100,3,FALSE))</f>
        <v/>
      </c>
      <c r="I605" s="18"/>
      <c r="J605" s="22" t="str">
        <f t="shared" si="27"/>
        <v/>
      </c>
      <c r="K605" s="10" t="str">
        <f t="shared" ca="1" si="28"/>
        <v/>
      </c>
      <c r="L605" s="7" t="str">
        <f t="shared" ca="1" si="29"/>
        <v/>
      </c>
    </row>
    <row r="606" spans="8:12" x14ac:dyDescent="0.25">
      <c r="H606" s="10" t="str">
        <f>IF(G606="","",VLOOKUP(G606,MEGHBELA!$A$2:$C$100,3,FALSE))</f>
        <v/>
      </c>
      <c r="I606" s="19"/>
      <c r="J606" s="22" t="str">
        <f t="shared" si="27"/>
        <v/>
      </c>
      <c r="K606" s="10" t="str">
        <f t="shared" ca="1" si="28"/>
        <v/>
      </c>
      <c r="L606" s="7" t="str">
        <f t="shared" ca="1" si="29"/>
        <v/>
      </c>
    </row>
    <row r="607" spans="8:12" x14ac:dyDescent="0.25">
      <c r="H607" s="10" t="str">
        <f>IF(G607="","",VLOOKUP(G607,MEGHBELA!$A$2:$C$100,3,FALSE))</f>
        <v/>
      </c>
      <c r="I607" s="18"/>
      <c r="J607" s="22" t="str">
        <f t="shared" si="27"/>
        <v/>
      </c>
      <c r="K607" s="10" t="str">
        <f t="shared" ca="1" si="28"/>
        <v/>
      </c>
      <c r="L607" s="7" t="str">
        <f t="shared" ca="1" si="29"/>
        <v/>
      </c>
    </row>
    <row r="608" spans="8:12" x14ac:dyDescent="0.25">
      <c r="H608" s="10" t="str">
        <f>IF(G608="","",VLOOKUP(G608,MEGHBELA!$A$2:$C$100,3,FALSE))</f>
        <v/>
      </c>
      <c r="I608" s="19"/>
      <c r="J608" s="22" t="str">
        <f t="shared" si="27"/>
        <v/>
      </c>
      <c r="K608" s="10" t="str">
        <f t="shared" ca="1" si="28"/>
        <v/>
      </c>
      <c r="L608" s="7" t="str">
        <f t="shared" ca="1" si="29"/>
        <v/>
      </c>
    </row>
    <row r="609" spans="8:12" x14ac:dyDescent="0.25">
      <c r="H609" s="10" t="str">
        <f>IF(G609="","",VLOOKUP(G609,MEGHBELA!$A$2:$C$100,3,FALSE))</f>
        <v/>
      </c>
      <c r="I609" s="18"/>
      <c r="J609" s="22" t="str">
        <f t="shared" si="27"/>
        <v/>
      </c>
      <c r="K609" s="10" t="str">
        <f t="shared" ca="1" si="28"/>
        <v/>
      </c>
      <c r="L609" s="7" t="str">
        <f t="shared" ca="1" si="29"/>
        <v/>
      </c>
    </row>
    <row r="610" spans="8:12" x14ac:dyDescent="0.25">
      <c r="H610" s="10" t="str">
        <f>IF(G610="","",VLOOKUP(G610,MEGHBELA!$A$2:$C$100,3,FALSE))</f>
        <v/>
      </c>
      <c r="I610" s="19"/>
      <c r="J610" s="22" t="str">
        <f t="shared" si="27"/>
        <v/>
      </c>
      <c r="K610" s="10" t="str">
        <f t="shared" ca="1" si="28"/>
        <v/>
      </c>
      <c r="L610" s="7" t="str">
        <f t="shared" ca="1" si="29"/>
        <v/>
      </c>
    </row>
    <row r="611" spans="8:12" x14ac:dyDescent="0.25">
      <c r="H611" s="10" t="str">
        <f>IF(G611="","",VLOOKUP(G611,MEGHBELA!$A$2:$C$100,3,FALSE))</f>
        <v/>
      </c>
      <c r="I611" s="18"/>
      <c r="J611" s="22" t="str">
        <f t="shared" si="27"/>
        <v/>
      </c>
      <c r="K611" s="10" t="str">
        <f t="shared" ca="1" si="28"/>
        <v/>
      </c>
      <c r="L611" s="7" t="str">
        <f t="shared" ca="1" si="29"/>
        <v/>
      </c>
    </row>
    <row r="612" spans="8:12" x14ac:dyDescent="0.25">
      <c r="H612" s="10" t="str">
        <f>IF(G612="","",VLOOKUP(G612,MEGHBELA!$A$2:$C$100,3,FALSE))</f>
        <v/>
      </c>
      <c r="I612" s="19"/>
      <c r="J612" s="22" t="str">
        <f t="shared" si="27"/>
        <v/>
      </c>
      <c r="K612" s="10" t="str">
        <f t="shared" ca="1" si="28"/>
        <v/>
      </c>
      <c r="L612" s="7" t="str">
        <f t="shared" ca="1" si="29"/>
        <v/>
      </c>
    </row>
    <row r="613" spans="8:12" x14ac:dyDescent="0.25">
      <c r="H613" s="10" t="str">
        <f>IF(G613="","",VLOOKUP(G613,MEGHBELA!$A$2:$C$100,3,FALSE))</f>
        <v/>
      </c>
      <c r="I613" s="18"/>
      <c r="J613" s="22" t="str">
        <f t="shared" si="27"/>
        <v/>
      </c>
      <c r="K613" s="10" t="str">
        <f t="shared" ca="1" si="28"/>
        <v/>
      </c>
      <c r="L613" s="7" t="str">
        <f t="shared" ca="1" si="29"/>
        <v/>
      </c>
    </row>
    <row r="614" spans="8:12" x14ac:dyDescent="0.25">
      <c r="H614" s="10" t="str">
        <f>IF(G614="","",VLOOKUP(G614,MEGHBELA!$A$2:$C$100,3,FALSE))</f>
        <v/>
      </c>
      <c r="I614" s="19"/>
      <c r="J614" s="22" t="str">
        <f t="shared" si="27"/>
        <v/>
      </c>
      <c r="K614" s="10" t="str">
        <f t="shared" ca="1" si="28"/>
        <v/>
      </c>
      <c r="L614" s="7" t="str">
        <f t="shared" ca="1" si="29"/>
        <v/>
      </c>
    </row>
    <row r="615" spans="8:12" x14ac:dyDescent="0.25">
      <c r="H615" s="10" t="str">
        <f>IF(G615="","",VLOOKUP(G615,MEGHBELA!$A$2:$C$100,3,FALSE))</f>
        <v/>
      </c>
      <c r="I615" s="18"/>
      <c r="J615" s="22" t="str">
        <f t="shared" si="27"/>
        <v/>
      </c>
      <c r="K615" s="10" t="str">
        <f t="shared" ca="1" si="28"/>
        <v/>
      </c>
      <c r="L615" s="7" t="str">
        <f t="shared" ca="1" si="29"/>
        <v/>
      </c>
    </row>
    <row r="616" spans="8:12" x14ac:dyDescent="0.25">
      <c r="H616" s="10" t="str">
        <f>IF(G616="","",VLOOKUP(G616,MEGHBELA!$A$2:$C$100,3,FALSE))</f>
        <v/>
      </c>
      <c r="I616" s="19"/>
      <c r="J616" s="22" t="str">
        <f t="shared" si="27"/>
        <v/>
      </c>
      <c r="K616" s="10" t="str">
        <f t="shared" ca="1" si="28"/>
        <v/>
      </c>
      <c r="L616" s="7" t="str">
        <f t="shared" ca="1" si="29"/>
        <v/>
      </c>
    </row>
    <row r="617" spans="8:12" x14ac:dyDescent="0.25">
      <c r="H617" s="10" t="str">
        <f>IF(G617="","",VLOOKUP(G617,MEGHBELA!$A$2:$C$100,3,FALSE))</f>
        <v/>
      </c>
      <c r="I617" s="18"/>
      <c r="J617" s="22" t="str">
        <f t="shared" si="27"/>
        <v/>
      </c>
      <c r="K617" s="10" t="str">
        <f t="shared" ca="1" si="28"/>
        <v/>
      </c>
      <c r="L617" s="7" t="str">
        <f t="shared" ca="1" si="29"/>
        <v/>
      </c>
    </row>
    <row r="618" spans="8:12" x14ac:dyDescent="0.25">
      <c r="H618" s="10" t="str">
        <f>IF(G618="","",VLOOKUP(G618,MEGHBELA!$A$2:$C$100,3,FALSE))</f>
        <v/>
      </c>
      <c r="I618" s="19"/>
      <c r="J618" s="22" t="str">
        <f t="shared" si="27"/>
        <v/>
      </c>
      <c r="K618" s="10" t="str">
        <f t="shared" ca="1" si="28"/>
        <v/>
      </c>
      <c r="L618" s="7" t="str">
        <f t="shared" ca="1" si="29"/>
        <v/>
      </c>
    </row>
    <row r="619" spans="8:12" x14ac:dyDescent="0.25">
      <c r="H619" s="10" t="str">
        <f>IF(G619="","",VLOOKUP(G619,MEGHBELA!$A$2:$C$100,3,FALSE))</f>
        <v/>
      </c>
      <c r="I619" s="18"/>
      <c r="J619" s="22" t="str">
        <f t="shared" si="27"/>
        <v/>
      </c>
      <c r="K619" s="10" t="str">
        <f t="shared" ca="1" si="28"/>
        <v/>
      </c>
      <c r="L619" s="7" t="str">
        <f t="shared" ca="1" si="29"/>
        <v/>
      </c>
    </row>
    <row r="620" spans="8:12" x14ac:dyDescent="0.25">
      <c r="H620" s="10" t="str">
        <f>IF(G620="","",VLOOKUP(G620,MEGHBELA!$A$2:$C$100,3,FALSE))</f>
        <v/>
      </c>
      <c r="I620" s="19"/>
      <c r="J620" s="22" t="str">
        <f t="shared" si="27"/>
        <v/>
      </c>
      <c r="K620" s="10" t="str">
        <f t="shared" ca="1" si="28"/>
        <v/>
      </c>
      <c r="L620" s="7" t="str">
        <f t="shared" ca="1" si="29"/>
        <v/>
      </c>
    </row>
    <row r="621" spans="8:12" x14ac:dyDescent="0.25">
      <c r="H621" s="10" t="str">
        <f>IF(G621="","",VLOOKUP(G621,MEGHBELA!$A$2:$C$100,3,FALSE))</f>
        <v/>
      </c>
      <c r="I621" s="18"/>
      <c r="J621" s="22" t="str">
        <f t="shared" si="27"/>
        <v/>
      </c>
      <c r="K621" s="10" t="str">
        <f t="shared" ca="1" si="28"/>
        <v/>
      </c>
      <c r="L621" s="7" t="str">
        <f t="shared" ca="1" si="29"/>
        <v/>
      </c>
    </row>
    <row r="622" spans="8:12" x14ac:dyDescent="0.25">
      <c r="H622" s="10" t="str">
        <f>IF(G622="","",VLOOKUP(G622,MEGHBELA!$A$2:$C$100,3,FALSE))</f>
        <v/>
      </c>
      <c r="I622" s="19"/>
      <c r="J622" s="22" t="str">
        <f t="shared" si="27"/>
        <v/>
      </c>
      <c r="K622" s="10" t="str">
        <f t="shared" ca="1" si="28"/>
        <v/>
      </c>
      <c r="L622" s="7" t="str">
        <f t="shared" ca="1" si="29"/>
        <v/>
      </c>
    </row>
    <row r="623" spans="8:12" x14ac:dyDescent="0.25">
      <c r="H623" s="10" t="str">
        <f>IF(G623="","",VLOOKUP(G623,MEGHBELA!$A$2:$C$100,3,FALSE))</f>
        <v/>
      </c>
      <c r="I623" s="18"/>
      <c r="J623" s="22" t="str">
        <f t="shared" si="27"/>
        <v/>
      </c>
      <c r="K623" s="10" t="str">
        <f t="shared" ca="1" si="28"/>
        <v/>
      </c>
      <c r="L623" s="7" t="str">
        <f t="shared" ca="1" si="29"/>
        <v/>
      </c>
    </row>
    <row r="624" spans="8:12" x14ac:dyDescent="0.25">
      <c r="H624" s="10" t="str">
        <f>IF(G624="","",VLOOKUP(G624,MEGHBELA!$A$2:$C$100,3,FALSE))</f>
        <v/>
      </c>
      <c r="I624" s="19"/>
      <c r="J624" s="22" t="str">
        <f t="shared" si="27"/>
        <v/>
      </c>
      <c r="K624" s="10" t="str">
        <f t="shared" ca="1" si="28"/>
        <v/>
      </c>
      <c r="L624" s="7" t="str">
        <f t="shared" ca="1" si="29"/>
        <v/>
      </c>
    </row>
    <row r="625" spans="8:12" x14ac:dyDescent="0.25">
      <c r="H625" s="10" t="str">
        <f>IF(G625="","",VLOOKUP(G625,MEGHBELA!$A$2:$C$100,3,FALSE))</f>
        <v/>
      </c>
      <c r="I625" s="18"/>
      <c r="J625" s="22" t="str">
        <f t="shared" si="27"/>
        <v/>
      </c>
      <c r="K625" s="10" t="str">
        <f t="shared" ca="1" si="28"/>
        <v/>
      </c>
      <c r="L625" s="7" t="str">
        <f t="shared" ca="1" si="29"/>
        <v/>
      </c>
    </row>
    <row r="626" spans="8:12" x14ac:dyDescent="0.25">
      <c r="H626" s="10" t="str">
        <f>IF(G626="","",VLOOKUP(G626,MEGHBELA!$A$2:$C$100,3,FALSE))</f>
        <v/>
      </c>
      <c r="I626" s="19"/>
      <c r="J626" s="22" t="str">
        <f t="shared" si="27"/>
        <v/>
      </c>
      <c r="K626" s="10" t="str">
        <f t="shared" ca="1" si="28"/>
        <v/>
      </c>
      <c r="L626" s="7" t="str">
        <f t="shared" ca="1" si="29"/>
        <v/>
      </c>
    </row>
    <row r="627" spans="8:12" x14ac:dyDescent="0.25">
      <c r="H627" s="10" t="str">
        <f>IF(G627="","",VLOOKUP(G627,MEGHBELA!$A$2:$C$100,3,FALSE))</f>
        <v/>
      </c>
      <c r="I627" s="18"/>
      <c r="J627" s="22" t="str">
        <f t="shared" si="27"/>
        <v/>
      </c>
      <c r="K627" s="10" t="str">
        <f t="shared" ca="1" si="28"/>
        <v/>
      </c>
      <c r="L627" s="7" t="str">
        <f t="shared" ca="1" si="29"/>
        <v/>
      </c>
    </row>
    <row r="628" spans="8:12" x14ac:dyDescent="0.25">
      <c r="H628" s="10" t="str">
        <f>IF(G628="","",VLOOKUP(G628,MEGHBELA!$A$2:$C$100,3,FALSE))</f>
        <v/>
      </c>
      <c r="I628" s="19"/>
      <c r="J628" s="22" t="str">
        <f t="shared" si="27"/>
        <v/>
      </c>
      <c r="K628" s="10" t="str">
        <f t="shared" ca="1" si="28"/>
        <v/>
      </c>
      <c r="L628" s="7" t="str">
        <f t="shared" ca="1" si="29"/>
        <v/>
      </c>
    </row>
    <row r="629" spans="8:12" x14ac:dyDescent="0.25">
      <c r="H629" s="10" t="str">
        <f>IF(G629="","",VLOOKUP(G629,MEGHBELA!$A$2:$C$100,3,FALSE))</f>
        <v/>
      </c>
      <c r="I629" s="18"/>
      <c r="J629" s="22" t="str">
        <f t="shared" si="27"/>
        <v/>
      </c>
      <c r="K629" s="10" t="str">
        <f t="shared" ca="1" si="28"/>
        <v/>
      </c>
      <c r="L629" s="7" t="str">
        <f t="shared" ca="1" si="29"/>
        <v/>
      </c>
    </row>
    <row r="630" spans="8:12" x14ac:dyDescent="0.25">
      <c r="H630" s="10" t="str">
        <f>IF(G630="","",VLOOKUP(G630,MEGHBELA!$A$2:$C$100,3,FALSE))</f>
        <v/>
      </c>
      <c r="I630" s="19"/>
      <c r="J630" s="22" t="str">
        <f t="shared" si="27"/>
        <v/>
      </c>
      <c r="K630" s="10" t="str">
        <f t="shared" ca="1" si="28"/>
        <v/>
      </c>
      <c r="L630" s="7" t="str">
        <f t="shared" ca="1" si="29"/>
        <v/>
      </c>
    </row>
    <row r="631" spans="8:12" x14ac:dyDescent="0.25">
      <c r="H631" s="10" t="str">
        <f>IF(G631="","",VLOOKUP(G631,MEGHBELA!$A$2:$C$100,3,FALSE))</f>
        <v/>
      </c>
      <c r="I631" s="18"/>
      <c r="J631" s="22" t="str">
        <f t="shared" si="27"/>
        <v/>
      </c>
      <c r="K631" s="10" t="str">
        <f t="shared" ca="1" si="28"/>
        <v/>
      </c>
      <c r="L631" s="7" t="str">
        <f t="shared" ca="1" si="29"/>
        <v/>
      </c>
    </row>
    <row r="632" spans="8:12" x14ac:dyDescent="0.25">
      <c r="H632" s="10" t="str">
        <f>IF(G632="","",VLOOKUP(G632,MEGHBELA!$A$2:$C$100,3,FALSE))</f>
        <v/>
      </c>
      <c r="I632" s="19"/>
      <c r="J632" s="22" t="str">
        <f t="shared" si="27"/>
        <v/>
      </c>
      <c r="K632" s="10" t="str">
        <f t="shared" ca="1" si="28"/>
        <v/>
      </c>
      <c r="L632" s="7" t="str">
        <f t="shared" ca="1" si="29"/>
        <v/>
      </c>
    </row>
    <row r="633" spans="8:12" x14ac:dyDescent="0.25">
      <c r="H633" s="10" t="str">
        <f>IF(G633="","",VLOOKUP(G633,MEGHBELA!$A$2:$C$100,3,FALSE))</f>
        <v/>
      </c>
      <c r="I633" s="18"/>
      <c r="J633" s="22" t="str">
        <f t="shared" si="27"/>
        <v/>
      </c>
      <c r="K633" s="10" t="str">
        <f t="shared" ca="1" si="28"/>
        <v/>
      </c>
      <c r="L633" s="7" t="str">
        <f t="shared" ca="1" si="29"/>
        <v/>
      </c>
    </row>
    <row r="634" spans="8:12" x14ac:dyDescent="0.25">
      <c r="H634" s="10" t="str">
        <f>IF(G634="","",VLOOKUP(G634,MEGHBELA!$A$2:$C$100,3,FALSE))</f>
        <v/>
      </c>
      <c r="I634" s="19"/>
      <c r="J634" s="22" t="str">
        <f t="shared" si="27"/>
        <v/>
      </c>
      <c r="K634" s="10" t="str">
        <f t="shared" ca="1" si="28"/>
        <v/>
      </c>
      <c r="L634" s="7" t="str">
        <f t="shared" ca="1" si="29"/>
        <v/>
      </c>
    </row>
    <row r="635" spans="8:12" x14ac:dyDescent="0.25">
      <c r="H635" s="10" t="str">
        <f>IF(G635="","",VLOOKUP(G635,MEGHBELA!$A$2:$C$100,3,FALSE))</f>
        <v/>
      </c>
      <c r="I635" s="18"/>
      <c r="J635" s="22" t="str">
        <f t="shared" si="27"/>
        <v/>
      </c>
      <c r="K635" s="10" t="str">
        <f t="shared" ca="1" si="28"/>
        <v/>
      </c>
      <c r="L635" s="7" t="str">
        <f t="shared" ca="1" si="29"/>
        <v/>
      </c>
    </row>
    <row r="636" spans="8:12" x14ac:dyDescent="0.25">
      <c r="H636" s="10" t="str">
        <f>IF(G636="","",VLOOKUP(G636,MEGHBELA!$A$2:$C$100,3,FALSE))</f>
        <v/>
      </c>
      <c r="I636" s="19"/>
      <c r="J636" s="22" t="str">
        <f t="shared" si="27"/>
        <v/>
      </c>
      <c r="K636" s="10" t="str">
        <f t="shared" ca="1" si="28"/>
        <v/>
      </c>
      <c r="L636" s="7" t="str">
        <f t="shared" ca="1" si="29"/>
        <v/>
      </c>
    </row>
    <row r="637" spans="8:12" x14ac:dyDescent="0.25">
      <c r="H637" s="10" t="str">
        <f>IF(G637="","",VLOOKUP(G637,MEGHBELA!$A$2:$C$100,3,FALSE))</f>
        <v/>
      </c>
      <c r="I637" s="18"/>
      <c r="J637" s="22" t="str">
        <f t="shared" si="27"/>
        <v/>
      </c>
      <c r="K637" s="10" t="str">
        <f t="shared" ca="1" si="28"/>
        <v/>
      </c>
      <c r="L637" s="7" t="str">
        <f t="shared" ca="1" si="29"/>
        <v/>
      </c>
    </row>
    <row r="638" spans="8:12" x14ac:dyDescent="0.25">
      <c r="H638" s="10" t="str">
        <f>IF(G638="","",VLOOKUP(G638,MEGHBELA!$A$2:$C$100,3,FALSE))</f>
        <v/>
      </c>
      <c r="I638" s="19"/>
      <c r="J638" s="22" t="str">
        <f t="shared" si="27"/>
        <v/>
      </c>
      <c r="K638" s="10" t="str">
        <f t="shared" ca="1" si="28"/>
        <v/>
      </c>
      <c r="L638" s="7" t="str">
        <f t="shared" ca="1" si="29"/>
        <v/>
      </c>
    </row>
    <row r="639" spans="8:12" x14ac:dyDescent="0.25">
      <c r="H639" s="10" t="str">
        <f>IF(G639="","",VLOOKUP(G639,MEGHBELA!$A$2:$C$100,3,FALSE))</f>
        <v/>
      </c>
      <c r="I639" s="18"/>
      <c r="J639" s="22" t="str">
        <f t="shared" si="27"/>
        <v/>
      </c>
      <c r="K639" s="10" t="str">
        <f t="shared" ca="1" si="28"/>
        <v/>
      </c>
      <c r="L639" s="7" t="str">
        <f t="shared" ca="1" si="29"/>
        <v/>
      </c>
    </row>
    <row r="640" spans="8:12" x14ac:dyDescent="0.25">
      <c r="H640" s="10" t="str">
        <f>IF(G640="","",VLOOKUP(G640,MEGHBELA!$A$2:$C$100,3,FALSE))</f>
        <v/>
      </c>
      <c r="I640" s="19"/>
      <c r="J640" s="22" t="str">
        <f t="shared" si="27"/>
        <v/>
      </c>
      <c r="K640" s="10" t="str">
        <f t="shared" ca="1" si="28"/>
        <v/>
      </c>
      <c r="L640" s="7" t="str">
        <f t="shared" ca="1" si="29"/>
        <v/>
      </c>
    </row>
    <row r="641" spans="8:12" x14ac:dyDescent="0.25">
      <c r="H641" s="10" t="str">
        <f>IF(G641="","",VLOOKUP(G641,MEGHBELA!$A$2:$C$100,3,FALSE))</f>
        <v/>
      </c>
      <c r="I641" s="18"/>
      <c r="J641" s="22" t="str">
        <f t="shared" si="27"/>
        <v/>
      </c>
      <c r="K641" s="10" t="str">
        <f t="shared" ca="1" si="28"/>
        <v/>
      </c>
      <c r="L641" s="7" t="str">
        <f t="shared" ca="1" si="29"/>
        <v/>
      </c>
    </row>
    <row r="642" spans="8:12" x14ac:dyDescent="0.25">
      <c r="H642" s="10" t="str">
        <f>IF(G642="","",VLOOKUP(G642,MEGHBELA!$A$2:$C$100,3,FALSE))</f>
        <v/>
      </c>
      <c r="I642" s="19"/>
      <c r="J642" s="22" t="str">
        <f t="shared" ref="J642:J705" si="30">IF(OR(I642="",H642=""),"",I642+H642)</f>
        <v/>
      </c>
      <c r="K642" s="10" t="str">
        <f t="shared" ref="K642:K705" ca="1" si="31">IF(J642="","",J642-TODAY())</f>
        <v/>
      </c>
      <c r="L642" s="7" t="str">
        <f t="shared" ref="L642:L705" ca="1" si="32">IF(K642="","",
IF(K642&lt;0,
HYPERLINK("https://web.whatsapp.com/send?phone=91"&amp;F642&amp;"&amp;text=Dear%20Customer,%20your%20internet%20plan%20expired%20on%20"&amp;TEXT(J642,"dd-mm-yyyy")&amp;".%20Your%20service%20is%20now%20stopped.%20Please%20renew%20immediately%20to%20restore%20service.%0A-----TRUESPEED%20BROADBAND","Send Stop Message"),
IF(K642&lt;=3,
HYPERLINK("https://web.whatsapp.com/send?phone=91"&amp;F642&amp;"&amp;text=Dear%20Customer,%20your%20internet%20plan%20will%20expire%20in%20"&amp;K642&amp;"%20days.%20Please%20renew%20before%20"&amp;TEXT(J642,"dd-mm-yyyy")&amp;".%0A-----TRUESPEED%20BROADBAND","Send Renewal Alert"),
"")))</f>
        <v/>
      </c>
    </row>
    <row r="643" spans="8:12" x14ac:dyDescent="0.25">
      <c r="H643" s="10" t="str">
        <f>IF(G643="","",VLOOKUP(G643,MEGHBELA!$A$2:$C$100,3,FALSE))</f>
        <v/>
      </c>
      <c r="I643" s="18"/>
      <c r="J643" s="22" t="str">
        <f t="shared" si="30"/>
        <v/>
      </c>
      <c r="K643" s="10" t="str">
        <f t="shared" ca="1" si="31"/>
        <v/>
      </c>
      <c r="L643" s="7" t="str">
        <f t="shared" ca="1" si="32"/>
        <v/>
      </c>
    </row>
    <row r="644" spans="8:12" x14ac:dyDescent="0.25">
      <c r="H644" s="10" t="str">
        <f>IF(G644="","",VLOOKUP(G644,MEGHBELA!$A$2:$C$100,3,FALSE))</f>
        <v/>
      </c>
      <c r="I644" s="19"/>
      <c r="J644" s="22" t="str">
        <f t="shared" si="30"/>
        <v/>
      </c>
      <c r="K644" s="10" t="str">
        <f t="shared" ca="1" si="31"/>
        <v/>
      </c>
      <c r="L644" s="7" t="str">
        <f t="shared" ca="1" si="32"/>
        <v/>
      </c>
    </row>
    <row r="645" spans="8:12" x14ac:dyDescent="0.25">
      <c r="H645" s="10" t="str">
        <f>IF(G645="","",VLOOKUP(G645,MEGHBELA!$A$2:$C$100,3,FALSE))</f>
        <v/>
      </c>
      <c r="I645" s="18"/>
      <c r="J645" s="22" t="str">
        <f t="shared" si="30"/>
        <v/>
      </c>
      <c r="K645" s="10" t="str">
        <f t="shared" ca="1" si="31"/>
        <v/>
      </c>
      <c r="L645" s="7" t="str">
        <f t="shared" ca="1" si="32"/>
        <v/>
      </c>
    </row>
    <row r="646" spans="8:12" x14ac:dyDescent="0.25">
      <c r="H646" s="10" t="str">
        <f>IF(G646="","",VLOOKUP(G646,MEGHBELA!$A$2:$C$100,3,FALSE))</f>
        <v/>
      </c>
      <c r="I646" s="19"/>
      <c r="J646" s="22" t="str">
        <f t="shared" si="30"/>
        <v/>
      </c>
      <c r="K646" s="10" t="str">
        <f t="shared" ca="1" si="31"/>
        <v/>
      </c>
      <c r="L646" s="7" t="str">
        <f t="shared" ca="1" si="32"/>
        <v/>
      </c>
    </row>
    <row r="647" spans="8:12" x14ac:dyDescent="0.25">
      <c r="H647" s="10" t="str">
        <f>IF(G647="","",VLOOKUP(G647,MEGHBELA!$A$2:$C$100,3,FALSE))</f>
        <v/>
      </c>
      <c r="I647" s="18"/>
      <c r="J647" s="22" t="str">
        <f t="shared" si="30"/>
        <v/>
      </c>
      <c r="K647" s="10" t="str">
        <f t="shared" ca="1" si="31"/>
        <v/>
      </c>
      <c r="L647" s="7" t="str">
        <f t="shared" ca="1" si="32"/>
        <v/>
      </c>
    </row>
    <row r="648" spans="8:12" x14ac:dyDescent="0.25">
      <c r="H648" s="10" t="str">
        <f>IF(G648="","",VLOOKUP(G648,MEGHBELA!$A$2:$C$100,3,FALSE))</f>
        <v/>
      </c>
      <c r="I648" s="19"/>
      <c r="J648" s="22" t="str">
        <f t="shared" si="30"/>
        <v/>
      </c>
      <c r="K648" s="10" t="str">
        <f t="shared" ca="1" si="31"/>
        <v/>
      </c>
      <c r="L648" s="7" t="str">
        <f t="shared" ca="1" si="32"/>
        <v/>
      </c>
    </row>
    <row r="649" spans="8:12" x14ac:dyDescent="0.25">
      <c r="H649" s="10" t="str">
        <f>IF(G649="","",VLOOKUP(G649,MEGHBELA!$A$2:$C$100,3,FALSE))</f>
        <v/>
      </c>
      <c r="I649" s="18"/>
      <c r="J649" s="22" t="str">
        <f t="shared" si="30"/>
        <v/>
      </c>
      <c r="K649" s="10" t="str">
        <f t="shared" ca="1" si="31"/>
        <v/>
      </c>
      <c r="L649" s="7" t="str">
        <f t="shared" ca="1" si="32"/>
        <v/>
      </c>
    </row>
    <row r="650" spans="8:12" x14ac:dyDescent="0.25">
      <c r="H650" s="10" t="str">
        <f>IF(G650="","",VLOOKUP(G650,MEGHBELA!$A$2:$C$100,3,FALSE))</f>
        <v/>
      </c>
      <c r="I650" s="19"/>
      <c r="J650" s="22" t="str">
        <f t="shared" si="30"/>
        <v/>
      </c>
      <c r="K650" s="10" t="str">
        <f t="shared" ca="1" si="31"/>
        <v/>
      </c>
      <c r="L650" s="7" t="str">
        <f t="shared" ca="1" si="32"/>
        <v/>
      </c>
    </row>
    <row r="651" spans="8:12" x14ac:dyDescent="0.25">
      <c r="H651" s="10" t="str">
        <f>IF(G651="","",VLOOKUP(G651,MEGHBELA!$A$2:$C$100,3,FALSE))</f>
        <v/>
      </c>
      <c r="I651" s="18"/>
      <c r="J651" s="22" t="str">
        <f t="shared" si="30"/>
        <v/>
      </c>
      <c r="K651" s="10" t="str">
        <f t="shared" ca="1" si="31"/>
        <v/>
      </c>
      <c r="L651" s="7" t="str">
        <f t="shared" ca="1" si="32"/>
        <v/>
      </c>
    </row>
    <row r="652" spans="8:12" x14ac:dyDescent="0.25">
      <c r="H652" s="10" t="str">
        <f>IF(G652="","",VLOOKUP(G652,MEGHBELA!$A$2:$C$100,3,FALSE))</f>
        <v/>
      </c>
      <c r="I652" s="19"/>
      <c r="J652" s="22" t="str">
        <f t="shared" si="30"/>
        <v/>
      </c>
      <c r="K652" s="10" t="str">
        <f t="shared" ca="1" si="31"/>
        <v/>
      </c>
      <c r="L652" s="7" t="str">
        <f t="shared" ca="1" si="32"/>
        <v/>
      </c>
    </row>
    <row r="653" spans="8:12" x14ac:dyDescent="0.25">
      <c r="H653" s="10" t="str">
        <f>IF(G653="","",VLOOKUP(G653,MEGHBELA!$A$2:$C$100,3,FALSE))</f>
        <v/>
      </c>
      <c r="I653" s="18"/>
      <c r="J653" s="22" t="str">
        <f t="shared" si="30"/>
        <v/>
      </c>
      <c r="K653" s="10" t="str">
        <f t="shared" ca="1" si="31"/>
        <v/>
      </c>
      <c r="L653" s="7" t="str">
        <f t="shared" ca="1" si="32"/>
        <v/>
      </c>
    </row>
    <row r="654" spans="8:12" x14ac:dyDescent="0.25">
      <c r="H654" s="10" t="str">
        <f>IF(G654="","",VLOOKUP(G654,MEGHBELA!$A$2:$C$100,3,FALSE))</f>
        <v/>
      </c>
      <c r="I654" s="19"/>
      <c r="J654" s="22" t="str">
        <f t="shared" si="30"/>
        <v/>
      </c>
      <c r="K654" s="10" t="str">
        <f t="shared" ca="1" si="31"/>
        <v/>
      </c>
      <c r="L654" s="7" t="str">
        <f t="shared" ca="1" si="32"/>
        <v/>
      </c>
    </row>
    <row r="655" spans="8:12" x14ac:dyDescent="0.25">
      <c r="H655" s="10" t="str">
        <f>IF(G655="","",VLOOKUP(G655,MEGHBELA!$A$2:$C$100,3,FALSE))</f>
        <v/>
      </c>
      <c r="I655" s="18"/>
      <c r="J655" s="22" t="str">
        <f t="shared" si="30"/>
        <v/>
      </c>
      <c r="K655" s="10" t="str">
        <f t="shared" ca="1" si="31"/>
        <v/>
      </c>
      <c r="L655" s="7" t="str">
        <f t="shared" ca="1" si="32"/>
        <v/>
      </c>
    </row>
    <row r="656" spans="8:12" x14ac:dyDescent="0.25">
      <c r="H656" s="10" t="str">
        <f>IF(G656="","",VLOOKUP(G656,MEGHBELA!$A$2:$C$100,3,FALSE))</f>
        <v/>
      </c>
      <c r="I656" s="19"/>
      <c r="J656" s="22" t="str">
        <f t="shared" si="30"/>
        <v/>
      </c>
      <c r="K656" s="10" t="str">
        <f t="shared" ca="1" si="31"/>
        <v/>
      </c>
      <c r="L656" s="7" t="str">
        <f t="shared" ca="1" si="32"/>
        <v/>
      </c>
    </row>
    <row r="657" spans="8:12" x14ac:dyDescent="0.25">
      <c r="H657" s="10" t="str">
        <f>IF(G657="","",VLOOKUP(G657,MEGHBELA!$A$2:$C$100,3,FALSE))</f>
        <v/>
      </c>
      <c r="I657" s="18"/>
      <c r="J657" s="22" t="str">
        <f t="shared" si="30"/>
        <v/>
      </c>
      <c r="K657" s="10" t="str">
        <f t="shared" ca="1" si="31"/>
        <v/>
      </c>
      <c r="L657" s="7" t="str">
        <f t="shared" ca="1" si="32"/>
        <v/>
      </c>
    </row>
    <row r="658" spans="8:12" x14ac:dyDescent="0.25">
      <c r="H658" s="10" t="str">
        <f>IF(G658="","",VLOOKUP(G658,MEGHBELA!$A$2:$C$100,3,FALSE))</f>
        <v/>
      </c>
      <c r="I658" s="19"/>
      <c r="J658" s="22" t="str">
        <f t="shared" si="30"/>
        <v/>
      </c>
      <c r="K658" s="10" t="str">
        <f t="shared" ca="1" si="31"/>
        <v/>
      </c>
      <c r="L658" s="7" t="str">
        <f t="shared" ca="1" si="32"/>
        <v/>
      </c>
    </row>
    <row r="659" spans="8:12" x14ac:dyDescent="0.25">
      <c r="H659" s="10" t="str">
        <f>IF(G659="","",VLOOKUP(G659,MEGHBELA!$A$2:$C$100,3,FALSE))</f>
        <v/>
      </c>
      <c r="I659" s="18"/>
      <c r="J659" s="22" t="str">
        <f t="shared" si="30"/>
        <v/>
      </c>
      <c r="K659" s="10" t="str">
        <f t="shared" ca="1" si="31"/>
        <v/>
      </c>
      <c r="L659" s="7" t="str">
        <f t="shared" ca="1" si="32"/>
        <v/>
      </c>
    </row>
    <row r="660" spans="8:12" x14ac:dyDescent="0.25">
      <c r="H660" s="10" t="str">
        <f>IF(G660="","",VLOOKUP(G660,MEGHBELA!$A$2:$C$100,3,FALSE))</f>
        <v/>
      </c>
      <c r="I660" s="19"/>
      <c r="J660" s="22" t="str">
        <f t="shared" si="30"/>
        <v/>
      </c>
      <c r="K660" s="10" t="str">
        <f t="shared" ca="1" si="31"/>
        <v/>
      </c>
      <c r="L660" s="7" t="str">
        <f t="shared" ca="1" si="32"/>
        <v/>
      </c>
    </row>
    <row r="661" spans="8:12" x14ac:dyDescent="0.25">
      <c r="H661" s="10" t="str">
        <f>IF(G661="","",VLOOKUP(G661,MEGHBELA!$A$2:$C$100,3,FALSE))</f>
        <v/>
      </c>
      <c r="I661" s="18"/>
      <c r="J661" s="22" t="str">
        <f t="shared" si="30"/>
        <v/>
      </c>
      <c r="K661" s="10" t="str">
        <f t="shared" ca="1" si="31"/>
        <v/>
      </c>
      <c r="L661" s="7" t="str">
        <f t="shared" ca="1" si="32"/>
        <v/>
      </c>
    </row>
    <row r="662" spans="8:12" x14ac:dyDescent="0.25">
      <c r="H662" s="10" t="str">
        <f>IF(G662="","",VLOOKUP(G662,MEGHBELA!$A$2:$C$100,3,FALSE))</f>
        <v/>
      </c>
      <c r="I662" s="19"/>
      <c r="J662" s="22" t="str">
        <f t="shared" si="30"/>
        <v/>
      </c>
      <c r="K662" s="10" t="str">
        <f t="shared" ca="1" si="31"/>
        <v/>
      </c>
      <c r="L662" s="7" t="str">
        <f t="shared" ca="1" si="32"/>
        <v/>
      </c>
    </row>
    <row r="663" spans="8:12" x14ac:dyDescent="0.25">
      <c r="H663" s="10" t="str">
        <f>IF(G663="","",VLOOKUP(G663,MEGHBELA!$A$2:$C$100,3,FALSE))</f>
        <v/>
      </c>
      <c r="I663" s="18"/>
      <c r="J663" s="22" t="str">
        <f t="shared" si="30"/>
        <v/>
      </c>
      <c r="K663" s="10" t="str">
        <f t="shared" ca="1" si="31"/>
        <v/>
      </c>
      <c r="L663" s="7" t="str">
        <f t="shared" ca="1" si="32"/>
        <v/>
      </c>
    </row>
    <row r="664" spans="8:12" x14ac:dyDescent="0.25">
      <c r="H664" s="10" t="str">
        <f>IF(G664="","",VLOOKUP(G664,MEGHBELA!$A$2:$C$100,3,FALSE))</f>
        <v/>
      </c>
      <c r="I664" s="19"/>
      <c r="J664" s="22" t="str">
        <f t="shared" si="30"/>
        <v/>
      </c>
      <c r="K664" s="10" t="str">
        <f t="shared" ca="1" si="31"/>
        <v/>
      </c>
      <c r="L664" s="7" t="str">
        <f t="shared" ca="1" si="32"/>
        <v/>
      </c>
    </row>
    <row r="665" spans="8:12" x14ac:dyDescent="0.25">
      <c r="H665" s="10" t="str">
        <f>IF(G665="","",VLOOKUP(G665,MEGHBELA!$A$2:$C$100,3,FALSE))</f>
        <v/>
      </c>
      <c r="I665" s="18"/>
      <c r="J665" s="22" t="str">
        <f t="shared" si="30"/>
        <v/>
      </c>
      <c r="K665" s="10" t="str">
        <f t="shared" ca="1" si="31"/>
        <v/>
      </c>
      <c r="L665" s="7" t="str">
        <f t="shared" ca="1" si="32"/>
        <v/>
      </c>
    </row>
    <row r="666" spans="8:12" x14ac:dyDescent="0.25">
      <c r="H666" s="10" t="str">
        <f>IF(G666="","",VLOOKUP(G666,MEGHBELA!$A$2:$C$100,3,FALSE))</f>
        <v/>
      </c>
      <c r="I666" s="19"/>
      <c r="J666" s="22" t="str">
        <f t="shared" si="30"/>
        <v/>
      </c>
      <c r="K666" s="10" t="str">
        <f t="shared" ca="1" si="31"/>
        <v/>
      </c>
      <c r="L666" s="7" t="str">
        <f t="shared" ca="1" si="32"/>
        <v/>
      </c>
    </row>
    <row r="667" spans="8:12" x14ac:dyDescent="0.25">
      <c r="H667" s="10" t="str">
        <f>IF(G667="","",VLOOKUP(G667,MEGHBELA!$A$2:$C$100,3,FALSE))</f>
        <v/>
      </c>
      <c r="I667" s="18"/>
      <c r="J667" s="22" t="str">
        <f t="shared" si="30"/>
        <v/>
      </c>
      <c r="K667" s="10" t="str">
        <f t="shared" ca="1" si="31"/>
        <v/>
      </c>
      <c r="L667" s="7" t="str">
        <f t="shared" ca="1" si="32"/>
        <v/>
      </c>
    </row>
    <row r="668" spans="8:12" x14ac:dyDescent="0.25">
      <c r="H668" s="10" t="str">
        <f>IF(G668="","",VLOOKUP(G668,MEGHBELA!$A$2:$C$100,3,FALSE))</f>
        <v/>
      </c>
      <c r="I668" s="19"/>
      <c r="J668" s="22" t="str">
        <f t="shared" si="30"/>
        <v/>
      </c>
      <c r="K668" s="10" t="str">
        <f t="shared" ca="1" si="31"/>
        <v/>
      </c>
      <c r="L668" s="7" t="str">
        <f t="shared" ca="1" si="32"/>
        <v/>
      </c>
    </row>
    <row r="669" spans="8:12" x14ac:dyDescent="0.25">
      <c r="H669" s="10" t="str">
        <f>IF(G669="","",VLOOKUP(G669,MEGHBELA!$A$2:$C$100,3,FALSE))</f>
        <v/>
      </c>
      <c r="I669" s="18"/>
      <c r="J669" s="22" t="str">
        <f t="shared" si="30"/>
        <v/>
      </c>
      <c r="K669" s="10" t="str">
        <f t="shared" ca="1" si="31"/>
        <v/>
      </c>
      <c r="L669" s="7" t="str">
        <f t="shared" ca="1" si="32"/>
        <v/>
      </c>
    </row>
    <row r="670" spans="8:12" x14ac:dyDescent="0.25">
      <c r="H670" s="10" t="str">
        <f>IF(G670="","",VLOOKUP(G670,MEGHBELA!$A$2:$C$100,3,FALSE))</f>
        <v/>
      </c>
      <c r="I670" s="19"/>
      <c r="J670" s="22" t="str">
        <f t="shared" si="30"/>
        <v/>
      </c>
      <c r="K670" s="10" t="str">
        <f t="shared" ca="1" si="31"/>
        <v/>
      </c>
      <c r="L670" s="7" t="str">
        <f t="shared" ca="1" si="32"/>
        <v/>
      </c>
    </row>
    <row r="671" spans="8:12" x14ac:dyDescent="0.25">
      <c r="H671" s="10" t="str">
        <f>IF(G671="","",VLOOKUP(G671,MEGHBELA!$A$2:$C$100,3,FALSE))</f>
        <v/>
      </c>
      <c r="I671" s="18"/>
      <c r="J671" s="22" t="str">
        <f t="shared" si="30"/>
        <v/>
      </c>
      <c r="K671" s="10" t="str">
        <f t="shared" ca="1" si="31"/>
        <v/>
      </c>
      <c r="L671" s="7" t="str">
        <f t="shared" ca="1" si="32"/>
        <v/>
      </c>
    </row>
    <row r="672" spans="8:12" x14ac:dyDescent="0.25">
      <c r="H672" s="10" t="str">
        <f>IF(G672="","",VLOOKUP(G672,MEGHBELA!$A$2:$C$100,3,FALSE))</f>
        <v/>
      </c>
      <c r="I672" s="19"/>
      <c r="J672" s="22" t="str">
        <f t="shared" si="30"/>
        <v/>
      </c>
      <c r="K672" s="10" t="str">
        <f t="shared" ca="1" si="31"/>
        <v/>
      </c>
      <c r="L672" s="7" t="str">
        <f t="shared" ca="1" si="32"/>
        <v/>
      </c>
    </row>
    <row r="673" spans="8:12" x14ac:dyDescent="0.25">
      <c r="H673" s="10" t="str">
        <f>IF(G673="","",VLOOKUP(G673,MEGHBELA!$A$2:$C$100,3,FALSE))</f>
        <v/>
      </c>
      <c r="I673" s="18"/>
      <c r="J673" s="22" t="str">
        <f t="shared" si="30"/>
        <v/>
      </c>
      <c r="K673" s="10" t="str">
        <f t="shared" ca="1" si="31"/>
        <v/>
      </c>
      <c r="L673" s="7" t="str">
        <f t="shared" ca="1" si="32"/>
        <v/>
      </c>
    </row>
    <row r="674" spans="8:12" x14ac:dyDescent="0.25">
      <c r="H674" s="10" t="str">
        <f>IF(G674="","",VLOOKUP(G674,MEGHBELA!$A$2:$C$100,3,FALSE))</f>
        <v/>
      </c>
      <c r="I674" s="19"/>
      <c r="J674" s="22" t="str">
        <f t="shared" si="30"/>
        <v/>
      </c>
      <c r="K674" s="10" t="str">
        <f t="shared" ca="1" si="31"/>
        <v/>
      </c>
      <c r="L674" s="7" t="str">
        <f t="shared" ca="1" si="32"/>
        <v/>
      </c>
    </row>
    <row r="675" spans="8:12" x14ac:dyDescent="0.25">
      <c r="H675" s="10" t="str">
        <f>IF(G675="","",VLOOKUP(G675,MEGHBELA!$A$2:$C$100,3,FALSE))</f>
        <v/>
      </c>
      <c r="I675" s="18"/>
      <c r="J675" s="22" t="str">
        <f t="shared" si="30"/>
        <v/>
      </c>
      <c r="K675" s="10" t="str">
        <f t="shared" ca="1" si="31"/>
        <v/>
      </c>
      <c r="L675" s="7" t="str">
        <f t="shared" ca="1" si="32"/>
        <v/>
      </c>
    </row>
    <row r="676" spans="8:12" x14ac:dyDescent="0.25">
      <c r="H676" s="10" t="str">
        <f>IF(G676="","",VLOOKUP(G676,MEGHBELA!$A$2:$C$100,3,FALSE))</f>
        <v/>
      </c>
      <c r="I676" s="19"/>
      <c r="J676" s="22" t="str">
        <f t="shared" si="30"/>
        <v/>
      </c>
      <c r="K676" s="10" t="str">
        <f t="shared" ca="1" si="31"/>
        <v/>
      </c>
      <c r="L676" s="7" t="str">
        <f t="shared" ca="1" si="32"/>
        <v/>
      </c>
    </row>
    <row r="677" spans="8:12" x14ac:dyDescent="0.25">
      <c r="H677" s="10" t="str">
        <f>IF(G677="","",VLOOKUP(G677,MEGHBELA!$A$2:$C$100,3,FALSE))</f>
        <v/>
      </c>
      <c r="I677" s="18"/>
      <c r="J677" s="22" t="str">
        <f t="shared" si="30"/>
        <v/>
      </c>
      <c r="K677" s="10" t="str">
        <f t="shared" ca="1" si="31"/>
        <v/>
      </c>
      <c r="L677" s="7" t="str">
        <f t="shared" ca="1" si="32"/>
        <v/>
      </c>
    </row>
    <row r="678" spans="8:12" x14ac:dyDescent="0.25">
      <c r="H678" s="10" t="str">
        <f>IF(G678="","",VLOOKUP(G678,MEGHBELA!$A$2:$C$100,3,FALSE))</f>
        <v/>
      </c>
      <c r="I678" s="19"/>
      <c r="J678" s="22" t="str">
        <f t="shared" si="30"/>
        <v/>
      </c>
      <c r="K678" s="10" t="str">
        <f t="shared" ca="1" si="31"/>
        <v/>
      </c>
      <c r="L678" s="7" t="str">
        <f t="shared" ca="1" si="32"/>
        <v/>
      </c>
    </row>
    <row r="679" spans="8:12" x14ac:dyDescent="0.25">
      <c r="H679" s="10" t="str">
        <f>IF(G679="","",VLOOKUP(G679,MEGHBELA!$A$2:$C$100,3,FALSE))</f>
        <v/>
      </c>
      <c r="I679" s="18"/>
      <c r="J679" s="22" t="str">
        <f t="shared" si="30"/>
        <v/>
      </c>
      <c r="K679" s="10" t="str">
        <f t="shared" ca="1" si="31"/>
        <v/>
      </c>
      <c r="L679" s="7" t="str">
        <f t="shared" ca="1" si="32"/>
        <v/>
      </c>
    </row>
    <row r="680" spans="8:12" x14ac:dyDescent="0.25">
      <c r="H680" s="10" t="str">
        <f>IF(G680="","",VLOOKUP(G680,MEGHBELA!$A$2:$C$100,3,FALSE))</f>
        <v/>
      </c>
      <c r="I680" s="19"/>
      <c r="J680" s="22" t="str">
        <f t="shared" si="30"/>
        <v/>
      </c>
      <c r="K680" s="10" t="str">
        <f t="shared" ca="1" si="31"/>
        <v/>
      </c>
      <c r="L680" s="7" t="str">
        <f t="shared" ca="1" si="32"/>
        <v/>
      </c>
    </row>
    <row r="681" spans="8:12" x14ac:dyDescent="0.25">
      <c r="H681" s="10" t="str">
        <f>IF(G681="","",VLOOKUP(G681,MEGHBELA!$A$2:$C$100,3,FALSE))</f>
        <v/>
      </c>
      <c r="I681" s="18"/>
      <c r="J681" s="22" t="str">
        <f t="shared" si="30"/>
        <v/>
      </c>
      <c r="K681" s="10" t="str">
        <f t="shared" ca="1" si="31"/>
        <v/>
      </c>
      <c r="L681" s="7" t="str">
        <f t="shared" ca="1" si="32"/>
        <v/>
      </c>
    </row>
    <row r="682" spans="8:12" x14ac:dyDescent="0.25">
      <c r="H682" s="10" t="str">
        <f>IF(G682="","",VLOOKUP(G682,MEGHBELA!$A$2:$C$100,3,FALSE))</f>
        <v/>
      </c>
      <c r="I682" s="19"/>
      <c r="J682" s="22" t="str">
        <f t="shared" si="30"/>
        <v/>
      </c>
      <c r="K682" s="10" t="str">
        <f t="shared" ca="1" si="31"/>
        <v/>
      </c>
      <c r="L682" s="7" t="str">
        <f t="shared" ca="1" si="32"/>
        <v/>
      </c>
    </row>
    <row r="683" spans="8:12" x14ac:dyDescent="0.25">
      <c r="H683" s="10" t="str">
        <f>IF(G683="","",VLOOKUP(G683,MEGHBELA!$A$2:$C$100,3,FALSE))</f>
        <v/>
      </c>
      <c r="I683" s="18"/>
      <c r="J683" s="22" t="str">
        <f t="shared" si="30"/>
        <v/>
      </c>
      <c r="K683" s="10" t="str">
        <f t="shared" ca="1" si="31"/>
        <v/>
      </c>
      <c r="L683" s="7" t="str">
        <f t="shared" ca="1" si="32"/>
        <v/>
      </c>
    </row>
    <row r="684" spans="8:12" x14ac:dyDescent="0.25">
      <c r="H684" s="10" t="str">
        <f>IF(G684="","",VLOOKUP(G684,MEGHBELA!$A$2:$C$100,3,FALSE))</f>
        <v/>
      </c>
      <c r="I684" s="19"/>
      <c r="J684" s="22" t="str">
        <f t="shared" si="30"/>
        <v/>
      </c>
      <c r="K684" s="10" t="str">
        <f t="shared" ca="1" si="31"/>
        <v/>
      </c>
      <c r="L684" s="7" t="str">
        <f t="shared" ca="1" si="32"/>
        <v/>
      </c>
    </row>
    <row r="685" spans="8:12" x14ac:dyDescent="0.25">
      <c r="H685" s="10" t="str">
        <f>IF(G685="","",VLOOKUP(G685,MEGHBELA!$A$2:$C$100,3,FALSE))</f>
        <v/>
      </c>
      <c r="I685" s="18"/>
      <c r="J685" s="22" t="str">
        <f t="shared" si="30"/>
        <v/>
      </c>
      <c r="K685" s="10" t="str">
        <f t="shared" ca="1" si="31"/>
        <v/>
      </c>
      <c r="L685" s="7" t="str">
        <f t="shared" ca="1" si="32"/>
        <v/>
      </c>
    </row>
    <row r="686" spans="8:12" x14ac:dyDescent="0.25">
      <c r="H686" s="10" t="str">
        <f>IF(G686="","",VLOOKUP(G686,MEGHBELA!$A$2:$C$100,3,FALSE))</f>
        <v/>
      </c>
      <c r="I686" s="19"/>
      <c r="J686" s="22" t="str">
        <f t="shared" si="30"/>
        <v/>
      </c>
      <c r="K686" s="10" t="str">
        <f t="shared" ca="1" si="31"/>
        <v/>
      </c>
      <c r="L686" s="7" t="str">
        <f t="shared" ca="1" si="32"/>
        <v/>
      </c>
    </row>
    <row r="687" spans="8:12" x14ac:dyDescent="0.25">
      <c r="H687" s="10" t="str">
        <f>IF(G687="","",VLOOKUP(G687,MEGHBELA!$A$2:$C$100,3,FALSE))</f>
        <v/>
      </c>
      <c r="I687" s="18"/>
      <c r="J687" s="22" t="str">
        <f t="shared" si="30"/>
        <v/>
      </c>
      <c r="K687" s="10" t="str">
        <f t="shared" ca="1" si="31"/>
        <v/>
      </c>
      <c r="L687" s="7" t="str">
        <f t="shared" ca="1" si="32"/>
        <v/>
      </c>
    </row>
    <row r="688" spans="8:12" x14ac:dyDescent="0.25">
      <c r="H688" s="10" t="str">
        <f>IF(G688="","",VLOOKUP(G688,MEGHBELA!$A$2:$C$100,3,FALSE))</f>
        <v/>
      </c>
      <c r="I688" s="19"/>
      <c r="J688" s="22" t="str">
        <f t="shared" si="30"/>
        <v/>
      </c>
      <c r="K688" s="10" t="str">
        <f t="shared" ca="1" si="31"/>
        <v/>
      </c>
      <c r="L688" s="7" t="str">
        <f t="shared" ca="1" si="32"/>
        <v/>
      </c>
    </row>
    <row r="689" spans="8:12" x14ac:dyDescent="0.25">
      <c r="H689" s="10" t="str">
        <f>IF(G689="","",VLOOKUP(G689,MEGHBELA!$A$2:$C$100,3,FALSE))</f>
        <v/>
      </c>
      <c r="I689" s="18"/>
      <c r="J689" s="22" t="str">
        <f t="shared" si="30"/>
        <v/>
      </c>
      <c r="K689" s="10" t="str">
        <f t="shared" ca="1" si="31"/>
        <v/>
      </c>
      <c r="L689" s="7" t="str">
        <f t="shared" ca="1" si="32"/>
        <v/>
      </c>
    </row>
    <row r="690" spans="8:12" x14ac:dyDescent="0.25">
      <c r="H690" s="10" t="str">
        <f>IF(G690="","",VLOOKUP(G690,MEGHBELA!$A$2:$C$100,3,FALSE))</f>
        <v/>
      </c>
      <c r="I690" s="19"/>
      <c r="J690" s="22" t="str">
        <f t="shared" si="30"/>
        <v/>
      </c>
      <c r="K690" s="10" t="str">
        <f t="shared" ca="1" si="31"/>
        <v/>
      </c>
      <c r="L690" s="7" t="str">
        <f t="shared" ca="1" si="32"/>
        <v/>
      </c>
    </row>
    <row r="691" spans="8:12" x14ac:dyDescent="0.25">
      <c r="H691" s="10" t="str">
        <f>IF(G691="","",VLOOKUP(G691,MEGHBELA!$A$2:$C$100,3,FALSE))</f>
        <v/>
      </c>
      <c r="I691" s="18"/>
      <c r="J691" s="22" t="str">
        <f t="shared" si="30"/>
        <v/>
      </c>
      <c r="K691" s="10" t="str">
        <f t="shared" ca="1" si="31"/>
        <v/>
      </c>
      <c r="L691" s="7" t="str">
        <f t="shared" ca="1" si="32"/>
        <v/>
      </c>
    </row>
    <row r="692" spans="8:12" x14ac:dyDescent="0.25">
      <c r="H692" s="10" t="str">
        <f>IF(G692="","",VLOOKUP(G692,MEGHBELA!$A$2:$C$100,3,FALSE))</f>
        <v/>
      </c>
      <c r="I692" s="19"/>
      <c r="J692" s="22" t="str">
        <f t="shared" si="30"/>
        <v/>
      </c>
      <c r="K692" s="10" t="str">
        <f t="shared" ca="1" si="31"/>
        <v/>
      </c>
      <c r="L692" s="7" t="str">
        <f t="shared" ca="1" si="32"/>
        <v/>
      </c>
    </row>
    <row r="693" spans="8:12" x14ac:dyDescent="0.25">
      <c r="H693" s="10" t="str">
        <f>IF(G693="","",VLOOKUP(G693,MEGHBELA!$A$2:$C$100,3,FALSE))</f>
        <v/>
      </c>
      <c r="I693" s="18"/>
      <c r="J693" s="22" t="str">
        <f t="shared" si="30"/>
        <v/>
      </c>
      <c r="K693" s="10" t="str">
        <f t="shared" ca="1" si="31"/>
        <v/>
      </c>
      <c r="L693" s="7" t="str">
        <f t="shared" ca="1" si="32"/>
        <v/>
      </c>
    </row>
    <row r="694" spans="8:12" x14ac:dyDescent="0.25">
      <c r="H694" s="10" t="str">
        <f>IF(G694="","",VLOOKUP(G694,MEGHBELA!$A$2:$C$100,3,FALSE))</f>
        <v/>
      </c>
      <c r="I694" s="19"/>
      <c r="J694" s="22" t="str">
        <f t="shared" si="30"/>
        <v/>
      </c>
      <c r="K694" s="10" t="str">
        <f t="shared" ca="1" si="31"/>
        <v/>
      </c>
      <c r="L694" s="7" t="str">
        <f t="shared" ca="1" si="32"/>
        <v/>
      </c>
    </row>
    <row r="695" spans="8:12" x14ac:dyDescent="0.25">
      <c r="H695" s="10" t="str">
        <f>IF(G695="","",VLOOKUP(G695,MEGHBELA!$A$2:$C$100,3,FALSE))</f>
        <v/>
      </c>
      <c r="I695" s="18"/>
      <c r="J695" s="22" t="str">
        <f t="shared" si="30"/>
        <v/>
      </c>
      <c r="K695" s="10" t="str">
        <f t="shared" ca="1" si="31"/>
        <v/>
      </c>
      <c r="L695" s="7" t="str">
        <f t="shared" ca="1" si="32"/>
        <v/>
      </c>
    </row>
    <row r="696" spans="8:12" x14ac:dyDescent="0.25">
      <c r="H696" s="10" t="str">
        <f>IF(G696="","",VLOOKUP(G696,MEGHBELA!$A$2:$C$100,3,FALSE))</f>
        <v/>
      </c>
      <c r="I696" s="19"/>
      <c r="J696" s="22" t="str">
        <f t="shared" si="30"/>
        <v/>
      </c>
      <c r="K696" s="10" t="str">
        <f t="shared" ca="1" si="31"/>
        <v/>
      </c>
      <c r="L696" s="7" t="str">
        <f t="shared" ca="1" si="32"/>
        <v/>
      </c>
    </row>
    <row r="697" spans="8:12" x14ac:dyDescent="0.25">
      <c r="H697" s="10" t="str">
        <f>IF(G697="","",VLOOKUP(G697,MEGHBELA!$A$2:$C$100,3,FALSE))</f>
        <v/>
      </c>
      <c r="I697" s="18"/>
      <c r="J697" s="22" t="str">
        <f t="shared" si="30"/>
        <v/>
      </c>
      <c r="K697" s="10" t="str">
        <f t="shared" ca="1" si="31"/>
        <v/>
      </c>
      <c r="L697" s="7" t="str">
        <f t="shared" ca="1" si="32"/>
        <v/>
      </c>
    </row>
    <row r="698" spans="8:12" x14ac:dyDescent="0.25">
      <c r="H698" s="10" t="str">
        <f>IF(G698="","",VLOOKUP(G698,MEGHBELA!$A$2:$C$100,3,FALSE))</f>
        <v/>
      </c>
      <c r="I698" s="19"/>
      <c r="J698" s="22" t="str">
        <f t="shared" si="30"/>
        <v/>
      </c>
      <c r="K698" s="10" t="str">
        <f t="shared" ca="1" si="31"/>
        <v/>
      </c>
      <c r="L698" s="7" t="str">
        <f t="shared" ca="1" si="32"/>
        <v/>
      </c>
    </row>
    <row r="699" spans="8:12" x14ac:dyDescent="0.25">
      <c r="H699" s="10" t="str">
        <f>IF(G699="","",VLOOKUP(G699,MEGHBELA!$A$2:$C$100,3,FALSE))</f>
        <v/>
      </c>
      <c r="I699" s="18"/>
      <c r="J699" s="22" t="str">
        <f t="shared" si="30"/>
        <v/>
      </c>
      <c r="K699" s="10" t="str">
        <f t="shared" ca="1" si="31"/>
        <v/>
      </c>
      <c r="L699" s="7" t="str">
        <f t="shared" ca="1" si="32"/>
        <v/>
      </c>
    </row>
    <row r="700" spans="8:12" x14ac:dyDescent="0.25">
      <c r="H700" s="10" t="str">
        <f>IF(G700="","",VLOOKUP(G700,MEGHBELA!$A$2:$C$100,3,FALSE))</f>
        <v/>
      </c>
      <c r="I700" s="19"/>
      <c r="J700" s="22" t="str">
        <f t="shared" si="30"/>
        <v/>
      </c>
      <c r="K700" s="10" t="str">
        <f t="shared" ca="1" si="31"/>
        <v/>
      </c>
      <c r="L700" s="7" t="str">
        <f t="shared" ca="1" si="32"/>
        <v/>
      </c>
    </row>
    <row r="701" spans="8:12" x14ac:dyDescent="0.25">
      <c r="H701" s="10" t="str">
        <f>IF(G701="","",VLOOKUP(G701,MEGHBELA!$A$2:$C$100,3,FALSE))</f>
        <v/>
      </c>
      <c r="I701" s="18"/>
      <c r="J701" s="22" t="str">
        <f t="shared" si="30"/>
        <v/>
      </c>
      <c r="K701" s="10" t="str">
        <f t="shared" ca="1" si="31"/>
        <v/>
      </c>
      <c r="L701" s="7" t="str">
        <f t="shared" ca="1" si="32"/>
        <v/>
      </c>
    </row>
    <row r="702" spans="8:12" x14ac:dyDescent="0.25">
      <c r="H702" s="10" t="str">
        <f>IF(G702="","",VLOOKUP(G702,MEGHBELA!$A$2:$C$100,3,FALSE))</f>
        <v/>
      </c>
      <c r="I702" s="19"/>
      <c r="J702" s="22" t="str">
        <f t="shared" si="30"/>
        <v/>
      </c>
      <c r="K702" s="10" t="str">
        <f t="shared" ca="1" si="31"/>
        <v/>
      </c>
      <c r="L702" s="7" t="str">
        <f t="shared" ca="1" si="32"/>
        <v/>
      </c>
    </row>
    <row r="703" spans="8:12" x14ac:dyDescent="0.25">
      <c r="H703" s="10" t="str">
        <f>IF(G703="","",VLOOKUP(G703,MEGHBELA!$A$2:$C$100,3,FALSE))</f>
        <v/>
      </c>
      <c r="I703" s="18"/>
      <c r="J703" s="22" t="str">
        <f t="shared" si="30"/>
        <v/>
      </c>
      <c r="K703" s="10" t="str">
        <f t="shared" ca="1" si="31"/>
        <v/>
      </c>
      <c r="L703" s="7" t="str">
        <f t="shared" ca="1" si="32"/>
        <v/>
      </c>
    </row>
    <row r="704" spans="8:12" x14ac:dyDescent="0.25">
      <c r="H704" s="10" t="str">
        <f>IF(G704="","",VLOOKUP(G704,MEGHBELA!$A$2:$C$100,3,FALSE))</f>
        <v/>
      </c>
      <c r="I704" s="19"/>
      <c r="J704" s="22" t="str">
        <f t="shared" si="30"/>
        <v/>
      </c>
      <c r="K704" s="10" t="str">
        <f t="shared" ca="1" si="31"/>
        <v/>
      </c>
      <c r="L704" s="7" t="str">
        <f t="shared" ca="1" si="32"/>
        <v/>
      </c>
    </row>
    <row r="705" spans="8:12" x14ac:dyDescent="0.25">
      <c r="H705" s="10" t="str">
        <f>IF(G705="","",VLOOKUP(G705,MEGHBELA!$A$2:$C$100,3,FALSE))</f>
        <v/>
      </c>
      <c r="I705" s="18"/>
      <c r="J705" s="22" t="str">
        <f t="shared" si="30"/>
        <v/>
      </c>
      <c r="K705" s="10" t="str">
        <f t="shared" ca="1" si="31"/>
        <v/>
      </c>
      <c r="L705" s="7" t="str">
        <f t="shared" ca="1" si="32"/>
        <v/>
      </c>
    </row>
    <row r="706" spans="8:12" x14ac:dyDescent="0.25">
      <c r="H706" s="10" t="str">
        <f>IF(G706="","",VLOOKUP(G706,MEGHBELA!$A$2:$C$100,3,FALSE))</f>
        <v/>
      </c>
      <c r="I706" s="19"/>
      <c r="J706" s="22" t="str">
        <f t="shared" ref="J706:J769" si="33">IF(OR(I706="",H706=""),"",I706+H706)</f>
        <v/>
      </c>
      <c r="K706" s="10" t="str">
        <f t="shared" ref="K706:K769" ca="1" si="34">IF(J706="","",J706-TODAY())</f>
        <v/>
      </c>
      <c r="L706" s="7" t="str">
        <f t="shared" ref="L706:L769" ca="1" si="35">IF(K706="","",
IF(K706&lt;0,
HYPERLINK("https://web.whatsapp.com/send?phone=91"&amp;F706&amp;"&amp;text=Dear%20Customer,%20your%20internet%20plan%20expired%20on%20"&amp;TEXT(J706,"dd-mm-yyyy")&amp;".%20Your%20service%20is%20now%20stopped.%20Please%20renew%20immediately%20to%20restore%20service.%0A-----TRUESPEED%20BROADBAND","Send Stop Message"),
IF(K706&lt;=3,
HYPERLINK("https://web.whatsapp.com/send?phone=91"&amp;F706&amp;"&amp;text=Dear%20Customer,%20your%20internet%20plan%20will%20expire%20in%20"&amp;K706&amp;"%20days.%20Please%20renew%20before%20"&amp;TEXT(J706,"dd-mm-yyyy")&amp;".%0A-----TRUESPEED%20BROADBAND","Send Renewal Alert"),
"")))</f>
        <v/>
      </c>
    </row>
    <row r="707" spans="8:12" x14ac:dyDescent="0.25">
      <c r="H707" s="10" t="str">
        <f>IF(G707="","",VLOOKUP(G707,MEGHBELA!$A$2:$C$100,3,FALSE))</f>
        <v/>
      </c>
      <c r="I707" s="18"/>
      <c r="J707" s="22" t="str">
        <f t="shared" si="33"/>
        <v/>
      </c>
      <c r="K707" s="10" t="str">
        <f t="shared" ca="1" si="34"/>
        <v/>
      </c>
      <c r="L707" s="7" t="str">
        <f t="shared" ca="1" si="35"/>
        <v/>
      </c>
    </row>
    <row r="708" spans="8:12" x14ac:dyDescent="0.25">
      <c r="H708" s="10" t="str">
        <f>IF(G708="","",VLOOKUP(G708,MEGHBELA!$A$2:$C$100,3,FALSE))</f>
        <v/>
      </c>
      <c r="I708" s="19"/>
      <c r="J708" s="22" t="str">
        <f t="shared" si="33"/>
        <v/>
      </c>
      <c r="K708" s="10" t="str">
        <f t="shared" ca="1" si="34"/>
        <v/>
      </c>
      <c r="L708" s="7" t="str">
        <f t="shared" ca="1" si="35"/>
        <v/>
      </c>
    </row>
    <row r="709" spans="8:12" x14ac:dyDescent="0.25">
      <c r="H709" s="10" t="str">
        <f>IF(G709="","",VLOOKUP(G709,MEGHBELA!$A$2:$C$100,3,FALSE))</f>
        <v/>
      </c>
      <c r="I709" s="18"/>
      <c r="J709" s="22" t="str">
        <f t="shared" si="33"/>
        <v/>
      </c>
      <c r="K709" s="10" t="str">
        <f t="shared" ca="1" si="34"/>
        <v/>
      </c>
      <c r="L709" s="7" t="str">
        <f t="shared" ca="1" si="35"/>
        <v/>
      </c>
    </row>
    <row r="710" spans="8:12" x14ac:dyDescent="0.25">
      <c r="H710" s="10" t="str">
        <f>IF(G710="","",VLOOKUP(G710,MEGHBELA!$A$2:$C$100,3,FALSE))</f>
        <v/>
      </c>
      <c r="I710" s="19"/>
      <c r="J710" s="22" t="str">
        <f t="shared" si="33"/>
        <v/>
      </c>
      <c r="K710" s="10" t="str">
        <f t="shared" ca="1" si="34"/>
        <v/>
      </c>
      <c r="L710" s="7" t="str">
        <f t="shared" ca="1" si="35"/>
        <v/>
      </c>
    </row>
    <row r="711" spans="8:12" x14ac:dyDescent="0.25">
      <c r="H711" s="10" t="str">
        <f>IF(G711="","",VLOOKUP(G711,MEGHBELA!$A$2:$C$100,3,FALSE))</f>
        <v/>
      </c>
      <c r="I711" s="18"/>
      <c r="J711" s="22" t="str">
        <f t="shared" si="33"/>
        <v/>
      </c>
      <c r="K711" s="10" t="str">
        <f t="shared" ca="1" si="34"/>
        <v/>
      </c>
      <c r="L711" s="7" t="str">
        <f t="shared" ca="1" si="35"/>
        <v/>
      </c>
    </row>
    <row r="712" spans="8:12" x14ac:dyDescent="0.25">
      <c r="H712" s="10" t="str">
        <f>IF(G712="","",VLOOKUP(G712,MEGHBELA!$A$2:$C$100,3,FALSE))</f>
        <v/>
      </c>
      <c r="I712" s="19"/>
      <c r="J712" s="22" t="str">
        <f t="shared" si="33"/>
        <v/>
      </c>
      <c r="K712" s="10" t="str">
        <f t="shared" ca="1" si="34"/>
        <v/>
      </c>
      <c r="L712" s="7" t="str">
        <f t="shared" ca="1" si="35"/>
        <v/>
      </c>
    </row>
    <row r="713" spans="8:12" x14ac:dyDescent="0.25">
      <c r="H713" s="10" t="str">
        <f>IF(G713="","",VLOOKUP(G713,MEGHBELA!$A$2:$C$100,3,FALSE))</f>
        <v/>
      </c>
      <c r="I713" s="18"/>
      <c r="J713" s="22" t="str">
        <f t="shared" si="33"/>
        <v/>
      </c>
      <c r="K713" s="10" t="str">
        <f t="shared" ca="1" si="34"/>
        <v/>
      </c>
      <c r="L713" s="7" t="str">
        <f t="shared" ca="1" si="35"/>
        <v/>
      </c>
    </row>
    <row r="714" spans="8:12" x14ac:dyDescent="0.25">
      <c r="H714" s="10" t="str">
        <f>IF(G714="","",VLOOKUP(G714,MEGHBELA!$A$2:$C$100,3,FALSE))</f>
        <v/>
      </c>
      <c r="I714" s="19"/>
      <c r="J714" s="22" t="str">
        <f t="shared" si="33"/>
        <v/>
      </c>
      <c r="K714" s="10" t="str">
        <f t="shared" ca="1" si="34"/>
        <v/>
      </c>
      <c r="L714" s="7" t="str">
        <f t="shared" ca="1" si="35"/>
        <v/>
      </c>
    </row>
    <row r="715" spans="8:12" x14ac:dyDescent="0.25">
      <c r="H715" s="10" t="str">
        <f>IF(G715="","",VLOOKUP(G715,MEGHBELA!$A$2:$C$100,3,FALSE))</f>
        <v/>
      </c>
      <c r="I715" s="18"/>
      <c r="J715" s="22" t="str">
        <f t="shared" si="33"/>
        <v/>
      </c>
      <c r="K715" s="10" t="str">
        <f t="shared" ca="1" si="34"/>
        <v/>
      </c>
      <c r="L715" s="7" t="str">
        <f t="shared" ca="1" si="35"/>
        <v/>
      </c>
    </row>
    <row r="716" spans="8:12" x14ac:dyDescent="0.25">
      <c r="H716" s="10" t="str">
        <f>IF(G716="","",VLOOKUP(G716,MEGHBELA!$A$2:$C$100,3,FALSE))</f>
        <v/>
      </c>
      <c r="I716" s="19"/>
      <c r="J716" s="22" t="str">
        <f t="shared" si="33"/>
        <v/>
      </c>
      <c r="K716" s="10" t="str">
        <f t="shared" ca="1" si="34"/>
        <v/>
      </c>
      <c r="L716" s="7" t="str">
        <f t="shared" ca="1" si="35"/>
        <v/>
      </c>
    </row>
    <row r="717" spans="8:12" x14ac:dyDescent="0.25">
      <c r="H717" s="10" t="str">
        <f>IF(G717="","",VLOOKUP(G717,MEGHBELA!$A$2:$C$100,3,FALSE))</f>
        <v/>
      </c>
      <c r="I717" s="18"/>
      <c r="J717" s="22" t="str">
        <f t="shared" si="33"/>
        <v/>
      </c>
      <c r="K717" s="10" t="str">
        <f t="shared" ca="1" si="34"/>
        <v/>
      </c>
      <c r="L717" s="7" t="str">
        <f t="shared" ca="1" si="35"/>
        <v/>
      </c>
    </row>
    <row r="718" spans="8:12" x14ac:dyDescent="0.25">
      <c r="H718" s="10" t="str">
        <f>IF(G718="","",VLOOKUP(G718,MEGHBELA!$A$2:$C$100,3,FALSE))</f>
        <v/>
      </c>
      <c r="I718" s="19"/>
      <c r="J718" s="22" t="str">
        <f t="shared" si="33"/>
        <v/>
      </c>
      <c r="K718" s="10" t="str">
        <f t="shared" ca="1" si="34"/>
        <v/>
      </c>
      <c r="L718" s="7" t="str">
        <f t="shared" ca="1" si="35"/>
        <v/>
      </c>
    </row>
    <row r="719" spans="8:12" x14ac:dyDescent="0.25">
      <c r="H719" s="10" t="str">
        <f>IF(G719="","",VLOOKUP(G719,MEGHBELA!$A$2:$C$100,3,FALSE))</f>
        <v/>
      </c>
      <c r="I719" s="18"/>
      <c r="J719" s="22" t="str">
        <f t="shared" si="33"/>
        <v/>
      </c>
      <c r="K719" s="10" t="str">
        <f t="shared" ca="1" si="34"/>
        <v/>
      </c>
      <c r="L719" s="7" t="str">
        <f t="shared" ca="1" si="35"/>
        <v/>
      </c>
    </row>
    <row r="720" spans="8:12" x14ac:dyDescent="0.25">
      <c r="H720" s="10" t="str">
        <f>IF(G720="","",VLOOKUP(G720,MEGHBELA!$A$2:$C$100,3,FALSE))</f>
        <v/>
      </c>
      <c r="I720" s="19"/>
      <c r="J720" s="22" t="str">
        <f t="shared" si="33"/>
        <v/>
      </c>
      <c r="K720" s="10" t="str">
        <f t="shared" ca="1" si="34"/>
        <v/>
      </c>
      <c r="L720" s="7" t="str">
        <f t="shared" ca="1" si="35"/>
        <v/>
      </c>
    </row>
    <row r="721" spans="8:12" x14ac:dyDescent="0.25">
      <c r="H721" s="10" t="str">
        <f>IF(G721="","",VLOOKUP(G721,MEGHBELA!$A$2:$C$100,3,FALSE))</f>
        <v/>
      </c>
      <c r="I721" s="18"/>
      <c r="J721" s="22" t="str">
        <f t="shared" si="33"/>
        <v/>
      </c>
      <c r="K721" s="10" t="str">
        <f t="shared" ca="1" si="34"/>
        <v/>
      </c>
      <c r="L721" s="7" t="str">
        <f t="shared" ca="1" si="35"/>
        <v/>
      </c>
    </row>
    <row r="722" spans="8:12" x14ac:dyDescent="0.25">
      <c r="H722" s="10" t="str">
        <f>IF(G722="","",VLOOKUP(G722,MEGHBELA!$A$2:$C$100,3,FALSE))</f>
        <v/>
      </c>
      <c r="I722" s="19"/>
      <c r="J722" s="22" t="str">
        <f t="shared" si="33"/>
        <v/>
      </c>
      <c r="K722" s="10" t="str">
        <f t="shared" ca="1" si="34"/>
        <v/>
      </c>
      <c r="L722" s="7" t="str">
        <f t="shared" ca="1" si="35"/>
        <v/>
      </c>
    </row>
    <row r="723" spans="8:12" x14ac:dyDescent="0.25">
      <c r="H723" s="10" t="str">
        <f>IF(G723="","",VLOOKUP(G723,MEGHBELA!$A$2:$C$100,3,FALSE))</f>
        <v/>
      </c>
      <c r="I723" s="18"/>
      <c r="J723" s="22" t="str">
        <f t="shared" si="33"/>
        <v/>
      </c>
      <c r="K723" s="10" t="str">
        <f t="shared" ca="1" si="34"/>
        <v/>
      </c>
      <c r="L723" s="7" t="str">
        <f t="shared" ca="1" si="35"/>
        <v/>
      </c>
    </row>
    <row r="724" spans="8:12" x14ac:dyDescent="0.25">
      <c r="H724" s="10" t="str">
        <f>IF(G724="","",VLOOKUP(G724,MEGHBELA!$A$2:$C$100,3,FALSE))</f>
        <v/>
      </c>
      <c r="I724" s="19"/>
      <c r="J724" s="22" t="str">
        <f t="shared" si="33"/>
        <v/>
      </c>
      <c r="K724" s="10" t="str">
        <f t="shared" ca="1" si="34"/>
        <v/>
      </c>
      <c r="L724" s="7" t="str">
        <f t="shared" ca="1" si="35"/>
        <v/>
      </c>
    </row>
    <row r="725" spans="8:12" x14ac:dyDescent="0.25">
      <c r="H725" s="10" t="str">
        <f>IF(G725="","",VLOOKUP(G725,MEGHBELA!$A$2:$C$100,3,FALSE))</f>
        <v/>
      </c>
      <c r="I725" s="18"/>
      <c r="J725" s="22" t="str">
        <f t="shared" si="33"/>
        <v/>
      </c>
      <c r="K725" s="10" t="str">
        <f t="shared" ca="1" si="34"/>
        <v/>
      </c>
      <c r="L725" s="7" t="str">
        <f t="shared" ca="1" si="35"/>
        <v/>
      </c>
    </row>
    <row r="726" spans="8:12" x14ac:dyDescent="0.25">
      <c r="H726" s="10" t="str">
        <f>IF(G726="","",VLOOKUP(G726,MEGHBELA!$A$2:$C$100,3,FALSE))</f>
        <v/>
      </c>
      <c r="I726" s="19"/>
      <c r="J726" s="22" t="str">
        <f t="shared" si="33"/>
        <v/>
      </c>
      <c r="K726" s="10" t="str">
        <f t="shared" ca="1" si="34"/>
        <v/>
      </c>
      <c r="L726" s="7" t="str">
        <f t="shared" ca="1" si="35"/>
        <v/>
      </c>
    </row>
    <row r="727" spans="8:12" x14ac:dyDescent="0.25">
      <c r="H727" s="10" t="str">
        <f>IF(G727="","",VLOOKUP(G727,MEGHBELA!$A$2:$C$100,3,FALSE))</f>
        <v/>
      </c>
      <c r="I727" s="18"/>
      <c r="J727" s="22" t="str">
        <f t="shared" si="33"/>
        <v/>
      </c>
      <c r="K727" s="10" t="str">
        <f t="shared" ca="1" si="34"/>
        <v/>
      </c>
      <c r="L727" s="7" t="str">
        <f t="shared" ca="1" si="35"/>
        <v/>
      </c>
    </row>
    <row r="728" spans="8:12" x14ac:dyDescent="0.25">
      <c r="H728" s="10" t="str">
        <f>IF(G728="","",VLOOKUP(G728,MEGHBELA!$A$2:$C$100,3,FALSE))</f>
        <v/>
      </c>
      <c r="I728" s="19"/>
      <c r="J728" s="22" t="str">
        <f t="shared" si="33"/>
        <v/>
      </c>
      <c r="K728" s="10" t="str">
        <f t="shared" ca="1" si="34"/>
        <v/>
      </c>
      <c r="L728" s="7" t="str">
        <f t="shared" ca="1" si="35"/>
        <v/>
      </c>
    </row>
    <row r="729" spans="8:12" x14ac:dyDescent="0.25">
      <c r="H729" s="10" t="str">
        <f>IF(G729="","",VLOOKUP(G729,MEGHBELA!$A$2:$C$100,3,FALSE))</f>
        <v/>
      </c>
      <c r="I729" s="18"/>
      <c r="J729" s="22" t="str">
        <f t="shared" si="33"/>
        <v/>
      </c>
      <c r="K729" s="10" t="str">
        <f t="shared" ca="1" si="34"/>
        <v/>
      </c>
      <c r="L729" s="7" t="str">
        <f t="shared" ca="1" si="35"/>
        <v/>
      </c>
    </row>
    <row r="730" spans="8:12" x14ac:dyDescent="0.25">
      <c r="H730" s="10" t="str">
        <f>IF(G730="","",VLOOKUP(G730,MEGHBELA!$A$2:$C$100,3,FALSE))</f>
        <v/>
      </c>
      <c r="I730" s="19"/>
      <c r="J730" s="22" t="str">
        <f t="shared" si="33"/>
        <v/>
      </c>
      <c r="K730" s="10" t="str">
        <f t="shared" ca="1" si="34"/>
        <v/>
      </c>
      <c r="L730" s="7" t="str">
        <f t="shared" ca="1" si="35"/>
        <v/>
      </c>
    </row>
    <row r="731" spans="8:12" x14ac:dyDescent="0.25">
      <c r="H731" s="10" t="str">
        <f>IF(G731="","",VLOOKUP(G731,MEGHBELA!$A$2:$C$100,3,FALSE))</f>
        <v/>
      </c>
      <c r="I731" s="18"/>
      <c r="J731" s="22" t="str">
        <f t="shared" si="33"/>
        <v/>
      </c>
      <c r="K731" s="10" t="str">
        <f t="shared" ca="1" si="34"/>
        <v/>
      </c>
      <c r="L731" s="7" t="str">
        <f t="shared" ca="1" si="35"/>
        <v/>
      </c>
    </row>
    <row r="732" spans="8:12" x14ac:dyDescent="0.25">
      <c r="H732" s="10" t="str">
        <f>IF(G732="","",VLOOKUP(G732,MEGHBELA!$A$2:$C$100,3,FALSE))</f>
        <v/>
      </c>
      <c r="I732" s="19"/>
      <c r="J732" s="22" t="str">
        <f t="shared" si="33"/>
        <v/>
      </c>
      <c r="K732" s="10" t="str">
        <f t="shared" ca="1" si="34"/>
        <v/>
      </c>
      <c r="L732" s="7" t="str">
        <f t="shared" ca="1" si="35"/>
        <v/>
      </c>
    </row>
    <row r="733" spans="8:12" x14ac:dyDescent="0.25">
      <c r="H733" s="10" t="str">
        <f>IF(G733="","",VLOOKUP(G733,MEGHBELA!$A$2:$C$100,3,FALSE))</f>
        <v/>
      </c>
      <c r="I733" s="18"/>
      <c r="J733" s="22" t="str">
        <f t="shared" si="33"/>
        <v/>
      </c>
      <c r="K733" s="10" t="str">
        <f t="shared" ca="1" si="34"/>
        <v/>
      </c>
      <c r="L733" s="7" t="str">
        <f t="shared" ca="1" si="35"/>
        <v/>
      </c>
    </row>
    <row r="734" spans="8:12" x14ac:dyDescent="0.25">
      <c r="H734" s="10" t="str">
        <f>IF(G734="","",VLOOKUP(G734,MEGHBELA!$A$2:$C$100,3,FALSE))</f>
        <v/>
      </c>
      <c r="I734" s="19"/>
      <c r="J734" s="22" t="str">
        <f t="shared" si="33"/>
        <v/>
      </c>
      <c r="K734" s="10" t="str">
        <f t="shared" ca="1" si="34"/>
        <v/>
      </c>
      <c r="L734" s="7" t="str">
        <f t="shared" ca="1" si="35"/>
        <v/>
      </c>
    </row>
    <row r="735" spans="8:12" x14ac:dyDescent="0.25">
      <c r="H735" s="10" t="str">
        <f>IF(G735="","",VLOOKUP(G735,MEGHBELA!$A$2:$C$100,3,FALSE))</f>
        <v/>
      </c>
      <c r="I735" s="18"/>
      <c r="J735" s="22" t="str">
        <f t="shared" si="33"/>
        <v/>
      </c>
      <c r="K735" s="10" t="str">
        <f t="shared" ca="1" si="34"/>
        <v/>
      </c>
      <c r="L735" s="7" t="str">
        <f t="shared" ca="1" si="35"/>
        <v/>
      </c>
    </row>
    <row r="736" spans="8:12" x14ac:dyDescent="0.25">
      <c r="H736" s="10" t="str">
        <f>IF(G736="","",VLOOKUP(G736,MEGHBELA!$A$2:$C$100,3,FALSE))</f>
        <v/>
      </c>
      <c r="I736" s="19"/>
      <c r="J736" s="22" t="str">
        <f t="shared" si="33"/>
        <v/>
      </c>
      <c r="K736" s="10" t="str">
        <f t="shared" ca="1" si="34"/>
        <v/>
      </c>
      <c r="L736" s="7" t="str">
        <f t="shared" ca="1" si="35"/>
        <v/>
      </c>
    </row>
    <row r="737" spans="8:12" x14ac:dyDescent="0.25">
      <c r="H737" s="10" t="str">
        <f>IF(G737="","",VLOOKUP(G737,MEGHBELA!$A$2:$C$100,3,FALSE))</f>
        <v/>
      </c>
      <c r="I737" s="18"/>
      <c r="J737" s="22" t="str">
        <f t="shared" si="33"/>
        <v/>
      </c>
      <c r="K737" s="10" t="str">
        <f t="shared" ca="1" si="34"/>
        <v/>
      </c>
      <c r="L737" s="7" t="str">
        <f t="shared" ca="1" si="35"/>
        <v/>
      </c>
    </row>
    <row r="738" spans="8:12" x14ac:dyDescent="0.25">
      <c r="H738" s="10" t="str">
        <f>IF(G738="","",VLOOKUP(G738,MEGHBELA!$A$2:$C$100,3,FALSE))</f>
        <v/>
      </c>
      <c r="I738" s="19"/>
      <c r="J738" s="22" t="str">
        <f t="shared" si="33"/>
        <v/>
      </c>
      <c r="K738" s="10" t="str">
        <f t="shared" ca="1" si="34"/>
        <v/>
      </c>
      <c r="L738" s="7" t="str">
        <f t="shared" ca="1" si="35"/>
        <v/>
      </c>
    </row>
    <row r="739" spans="8:12" x14ac:dyDescent="0.25">
      <c r="H739" s="10" t="str">
        <f>IF(G739="","",VLOOKUP(G739,MEGHBELA!$A$2:$C$100,3,FALSE))</f>
        <v/>
      </c>
      <c r="I739" s="18"/>
      <c r="J739" s="22" t="str">
        <f t="shared" si="33"/>
        <v/>
      </c>
      <c r="K739" s="10" t="str">
        <f t="shared" ca="1" si="34"/>
        <v/>
      </c>
      <c r="L739" s="7" t="str">
        <f t="shared" ca="1" si="35"/>
        <v/>
      </c>
    </row>
    <row r="740" spans="8:12" x14ac:dyDescent="0.25">
      <c r="H740" s="10" t="str">
        <f>IF(G740="","",VLOOKUP(G740,MEGHBELA!$A$2:$C$100,3,FALSE))</f>
        <v/>
      </c>
      <c r="I740" s="19"/>
      <c r="J740" s="22" t="str">
        <f t="shared" si="33"/>
        <v/>
      </c>
      <c r="K740" s="10" t="str">
        <f t="shared" ca="1" si="34"/>
        <v/>
      </c>
      <c r="L740" s="7" t="str">
        <f t="shared" ca="1" si="35"/>
        <v/>
      </c>
    </row>
    <row r="741" spans="8:12" x14ac:dyDescent="0.25">
      <c r="H741" s="10" t="str">
        <f>IF(G741="","",VLOOKUP(G741,MEGHBELA!$A$2:$C$100,3,FALSE))</f>
        <v/>
      </c>
      <c r="I741" s="18"/>
      <c r="J741" s="22" t="str">
        <f t="shared" si="33"/>
        <v/>
      </c>
      <c r="K741" s="10" t="str">
        <f t="shared" ca="1" si="34"/>
        <v/>
      </c>
      <c r="L741" s="7" t="str">
        <f t="shared" ca="1" si="35"/>
        <v/>
      </c>
    </row>
    <row r="742" spans="8:12" x14ac:dyDescent="0.25">
      <c r="H742" s="10" t="str">
        <f>IF(G742="","",VLOOKUP(G742,MEGHBELA!$A$2:$C$100,3,FALSE))</f>
        <v/>
      </c>
      <c r="I742" s="19"/>
      <c r="J742" s="22" t="str">
        <f t="shared" si="33"/>
        <v/>
      </c>
      <c r="K742" s="10" t="str">
        <f t="shared" ca="1" si="34"/>
        <v/>
      </c>
      <c r="L742" s="7" t="str">
        <f t="shared" ca="1" si="35"/>
        <v/>
      </c>
    </row>
    <row r="743" spans="8:12" x14ac:dyDescent="0.25">
      <c r="H743" s="10" t="str">
        <f>IF(G743="","",VLOOKUP(G743,MEGHBELA!$A$2:$C$100,3,FALSE))</f>
        <v/>
      </c>
      <c r="I743" s="18"/>
      <c r="J743" s="22" t="str">
        <f t="shared" si="33"/>
        <v/>
      </c>
      <c r="K743" s="10" t="str">
        <f t="shared" ca="1" si="34"/>
        <v/>
      </c>
      <c r="L743" s="7" t="str">
        <f t="shared" ca="1" si="35"/>
        <v/>
      </c>
    </row>
    <row r="744" spans="8:12" x14ac:dyDescent="0.25">
      <c r="H744" s="10" t="str">
        <f>IF(G744="","",VLOOKUP(G744,MEGHBELA!$A$2:$C$100,3,FALSE))</f>
        <v/>
      </c>
      <c r="I744" s="19"/>
      <c r="J744" s="22" t="str">
        <f t="shared" si="33"/>
        <v/>
      </c>
      <c r="K744" s="10" t="str">
        <f t="shared" ca="1" si="34"/>
        <v/>
      </c>
      <c r="L744" s="7" t="str">
        <f t="shared" ca="1" si="35"/>
        <v/>
      </c>
    </row>
    <row r="745" spans="8:12" x14ac:dyDescent="0.25">
      <c r="H745" s="10" t="str">
        <f>IF(G745="","",VLOOKUP(G745,MEGHBELA!$A$2:$C$100,3,FALSE))</f>
        <v/>
      </c>
      <c r="I745" s="18"/>
      <c r="J745" s="22" t="str">
        <f t="shared" si="33"/>
        <v/>
      </c>
      <c r="K745" s="10" t="str">
        <f t="shared" ca="1" si="34"/>
        <v/>
      </c>
      <c r="L745" s="7" t="str">
        <f t="shared" ca="1" si="35"/>
        <v/>
      </c>
    </row>
    <row r="746" spans="8:12" x14ac:dyDescent="0.25">
      <c r="H746" s="10" t="str">
        <f>IF(G746="","",VLOOKUP(G746,MEGHBELA!$A$2:$C$100,3,FALSE))</f>
        <v/>
      </c>
      <c r="I746" s="19"/>
      <c r="J746" s="22" t="str">
        <f t="shared" si="33"/>
        <v/>
      </c>
      <c r="K746" s="10" t="str">
        <f t="shared" ca="1" si="34"/>
        <v/>
      </c>
      <c r="L746" s="7" t="str">
        <f t="shared" ca="1" si="35"/>
        <v/>
      </c>
    </row>
    <row r="747" spans="8:12" x14ac:dyDescent="0.25">
      <c r="H747" s="10" t="str">
        <f>IF(G747="","",VLOOKUP(G747,MEGHBELA!$A$2:$C$100,3,FALSE))</f>
        <v/>
      </c>
      <c r="I747" s="18"/>
      <c r="J747" s="22" t="str">
        <f t="shared" si="33"/>
        <v/>
      </c>
      <c r="K747" s="10" t="str">
        <f t="shared" ca="1" si="34"/>
        <v/>
      </c>
      <c r="L747" s="7" t="str">
        <f t="shared" ca="1" si="35"/>
        <v/>
      </c>
    </row>
    <row r="748" spans="8:12" x14ac:dyDescent="0.25">
      <c r="H748" s="10" t="str">
        <f>IF(G748="","",VLOOKUP(G748,MEGHBELA!$A$2:$C$100,3,FALSE))</f>
        <v/>
      </c>
      <c r="I748" s="19"/>
      <c r="J748" s="22" t="str">
        <f t="shared" si="33"/>
        <v/>
      </c>
      <c r="K748" s="10" t="str">
        <f t="shared" ca="1" si="34"/>
        <v/>
      </c>
      <c r="L748" s="7" t="str">
        <f t="shared" ca="1" si="35"/>
        <v/>
      </c>
    </row>
    <row r="749" spans="8:12" x14ac:dyDescent="0.25">
      <c r="H749" s="10" t="str">
        <f>IF(G749="","",VLOOKUP(G749,MEGHBELA!$A$2:$C$100,3,FALSE))</f>
        <v/>
      </c>
      <c r="I749" s="18"/>
      <c r="J749" s="22" t="str">
        <f t="shared" si="33"/>
        <v/>
      </c>
      <c r="K749" s="10" t="str">
        <f t="shared" ca="1" si="34"/>
        <v/>
      </c>
      <c r="L749" s="7" t="str">
        <f t="shared" ca="1" si="35"/>
        <v/>
      </c>
    </row>
    <row r="750" spans="8:12" x14ac:dyDescent="0.25">
      <c r="H750" s="10" t="str">
        <f>IF(G750="","",VLOOKUP(G750,MEGHBELA!$A$2:$C$100,3,FALSE))</f>
        <v/>
      </c>
      <c r="I750" s="19"/>
      <c r="J750" s="22" t="str">
        <f t="shared" si="33"/>
        <v/>
      </c>
      <c r="K750" s="10" t="str">
        <f t="shared" ca="1" si="34"/>
        <v/>
      </c>
      <c r="L750" s="7" t="str">
        <f t="shared" ca="1" si="35"/>
        <v/>
      </c>
    </row>
    <row r="751" spans="8:12" x14ac:dyDescent="0.25">
      <c r="H751" s="10" t="str">
        <f>IF(G751="","",VLOOKUP(G751,MEGHBELA!$A$2:$C$100,3,FALSE))</f>
        <v/>
      </c>
      <c r="I751" s="18"/>
      <c r="J751" s="22" t="str">
        <f t="shared" si="33"/>
        <v/>
      </c>
      <c r="K751" s="10" t="str">
        <f t="shared" ca="1" si="34"/>
        <v/>
      </c>
      <c r="L751" s="7" t="str">
        <f t="shared" ca="1" si="35"/>
        <v/>
      </c>
    </row>
    <row r="752" spans="8:12" x14ac:dyDescent="0.25">
      <c r="H752" s="10" t="str">
        <f>IF(G752="","",VLOOKUP(G752,MEGHBELA!$A$2:$C$100,3,FALSE))</f>
        <v/>
      </c>
      <c r="I752" s="19"/>
      <c r="J752" s="22" t="str">
        <f t="shared" si="33"/>
        <v/>
      </c>
      <c r="K752" s="10" t="str">
        <f t="shared" ca="1" si="34"/>
        <v/>
      </c>
      <c r="L752" s="7" t="str">
        <f t="shared" ca="1" si="35"/>
        <v/>
      </c>
    </row>
    <row r="753" spans="8:12" x14ac:dyDescent="0.25">
      <c r="H753" s="10" t="str">
        <f>IF(G753="","",VLOOKUP(G753,MEGHBELA!$A$2:$C$100,3,FALSE))</f>
        <v/>
      </c>
      <c r="I753" s="18"/>
      <c r="J753" s="22" t="str">
        <f t="shared" si="33"/>
        <v/>
      </c>
      <c r="K753" s="10" t="str">
        <f t="shared" ca="1" si="34"/>
        <v/>
      </c>
      <c r="L753" s="7" t="str">
        <f t="shared" ca="1" si="35"/>
        <v/>
      </c>
    </row>
    <row r="754" spans="8:12" x14ac:dyDescent="0.25">
      <c r="H754" s="10" t="str">
        <f>IF(G754="","",VLOOKUP(G754,MEGHBELA!$A$2:$C$100,3,FALSE))</f>
        <v/>
      </c>
      <c r="I754" s="19"/>
      <c r="J754" s="22" t="str">
        <f t="shared" si="33"/>
        <v/>
      </c>
      <c r="K754" s="10" t="str">
        <f t="shared" ca="1" si="34"/>
        <v/>
      </c>
      <c r="L754" s="7" t="str">
        <f t="shared" ca="1" si="35"/>
        <v/>
      </c>
    </row>
    <row r="755" spans="8:12" x14ac:dyDescent="0.25">
      <c r="H755" s="10" t="str">
        <f>IF(G755="","",VLOOKUP(G755,MEGHBELA!$A$2:$C$100,3,FALSE))</f>
        <v/>
      </c>
      <c r="I755" s="18"/>
      <c r="J755" s="22" t="str">
        <f t="shared" si="33"/>
        <v/>
      </c>
      <c r="K755" s="10" t="str">
        <f t="shared" ca="1" si="34"/>
        <v/>
      </c>
      <c r="L755" s="7" t="str">
        <f t="shared" ca="1" si="35"/>
        <v/>
      </c>
    </row>
    <row r="756" spans="8:12" x14ac:dyDescent="0.25">
      <c r="H756" s="10" t="str">
        <f>IF(G756="","",VLOOKUP(G756,MEGHBELA!$A$2:$C$100,3,FALSE))</f>
        <v/>
      </c>
      <c r="I756" s="19"/>
      <c r="J756" s="22" t="str">
        <f t="shared" si="33"/>
        <v/>
      </c>
      <c r="K756" s="10" t="str">
        <f t="shared" ca="1" si="34"/>
        <v/>
      </c>
      <c r="L756" s="7" t="str">
        <f t="shared" ca="1" si="35"/>
        <v/>
      </c>
    </row>
    <row r="757" spans="8:12" x14ac:dyDescent="0.25">
      <c r="H757" s="10" t="str">
        <f>IF(G757="","",VLOOKUP(G757,MEGHBELA!$A$2:$C$100,3,FALSE))</f>
        <v/>
      </c>
      <c r="I757" s="18"/>
      <c r="J757" s="22" t="str">
        <f t="shared" si="33"/>
        <v/>
      </c>
      <c r="K757" s="10" t="str">
        <f t="shared" ca="1" si="34"/>
        <v/>
      </c>
      <c r="L757" s="7" t="str">
        <f t="shared" ca="1" si="35"/>
        <v/>
      </c>
    </row>
    <row r="758" spans="8:12" x14ac:dyDescent="0.25">
      <c r="H758" s="10" t="str">
        <f>IF(G758="","",VLOOKUP(G758,MEGHBELA!$A$2:$C$100,3,FALSE))</f>
        <v/>
      </c>
      <c r="I758" s="19"/>
      <c r="J758" s="22" t="str">
        <f t="shared" si="33"/>
        <v/>
      </c>
      <c r="K758" s="10" t="str">
        <f t="shared" ca="1" si="34"/>
        <v/>
      </c>
      <c r="L758" s="7" t="str">
        <f t="shared" ca="1" si="35"/>
        <v/>
      </c>
    </row>
    <row r="759" spans="8:12" x14ac:dyDescent="0.25">
      <c r="H759" s="10" t="str">
        <f>IF(G759="","",VLOOKUP(G759,MEGHBELA!$A$2:$C$100,3,FALSE))</f>
        <v/>
      </c>
      <c r="I759" s="18"/>
      <c r="J759" s="22" t="str">
        <f t="shared" si="33"/>
        <v/>
      </c>
      <c r="K759" s="10" t="str">
        <f t="shared" ca="1" si="34"/>
        <v/>
      </c>
      <c r="L759" s="7" t="str">
        <f t="shared" ca="1" si="35"/>
        <v/>
      </c>
    </row>
    <row r="760" spans="8:12" x14ac:dyDescent="0.25">
      <c r="H760" s="10" t="str">
        <f>IF(G760="","",VLOOKUP(G760,MEGHBELA!$A$2:$C$100,3,FALSE))</f>
        <v/>
      </c>
      <c r="I760" s="19"/>
      <c r="J760" s="22" t="str">
        <f t="shared" si="33"/>
        <v/>
      </c>
      <c r="K760" s="10" t="str">
        <f t="shared" ca="1" si="34"/>
        <v/>
      </c>
      <c r="L760" s="7" t="str">
        <f t="shared" ca="1" si="35"/>
        <v/>
      </c>
    </row>
    <row r="761" spans="8:12" x14ac:dyDescent="0.25">
      <c r="H761" s="10" t="str">
        <f>IF(G761="","",VLOOKUP(G761,MEGHBELA!$A$2:$C$100,3,FALSE))</f>
        <v/>
      </c>
      <c r="I761" s="18"/>
      <c r="J761" s="22" t="str">
        <f t="shared" si="33"/>
        <v/>
      </c>
      <c r="K761" s="10" t="str">
        <f t="shared" ca="1" si="34"/>
        <v/>
      </c>
      <c r="L761" s="7" t="str">
        <f t="shared" ca="1" si="35"/>
        <v/>
      </c>
    </row>
    <row r="762" spans="8:12" x14ac:dyDescent="0.25">
      <c r="H762" s="10" t="str">
        <f>IF(G762="","",VLOOKUP(G762,MEGHBELA!$A$2:$C$100,3,FALSE))</f>
        <v/>
      </c>
      <c r="I762" s="19"/>
      <c r="J762" s="22" t="str">
        <f t="shared" si="33"/>
        <v/>
      </c>
      <c r="K762" s="10" t="str">
        <f t="shared" ca="1" si="34"/>
        <v/>
      </c>
      <c r="L762" s="7" t="str">
        <f t="shared" ca="1" si="35"/>
        <v/>
      </c>
    </row>
    <row r="763" spans="8:12" x14ac:dyDescent="0.25">
      <c r="H763" s="10" t="str">
        <f>IF(G763="","",VLOOKUP(G763,MEGHBELA!$A$2:$C$100,3,FALSE))</f>
        <v/>
      </c>
      <c r="I763" s="18"/>
      <c r="J763" s="22" t="str">
        <f t="shared" si="33"/>
        <v/>
      </c>
      <c r="K763" s="10" t="str">
        <f t="shared" ca="1" si="34"/>
        <v/>
      </c>
      <c r="L763" s="7" t="str">
        <f t="shared" ca="1" si="35"/>
        <v/>
      </c>
    </row>
    <row r="764" spans="8:12" x14ac:dyDescent="0.25">
      <c r="H764" s="10" t="str">
        <f>IF(G764="","",VLOOKUP(G764,MEGHBELA!$A$2:$C$100,3,FALSE))</f>
        <v/>
      </c>
      <c r="I764" s="19"/>
      <c r="J764" s="22" t="str">
        <f t="shared" si="33"/>
        <v/>
      </c>
      <c r="K764" s="10" t="str">
        <f t="shared" ca="1" si="34"/>
        <v/>
      </c>
      <c r="L764" s="7" t="str">
        <f t="shared" ca="1" si="35"/>
        <v/>
      </c>
    </row>
    <row r="765" spans="8:12" x14ac:dyDescent="0.25">
      <c r="H765" s="10" t="str">
        <f>IF(G765="","",VLOOKUP(G765,MEGHBELA!$A$2:$C$100,3,FALSE))</f>
        <v/>
      </c>
      <c r="I765" s="18"/>
      <c r="J765" s="22" t="str">
        <f t="shared" si="33"/>
        <v/>
      </c>
      <c r="K765" s="10" t="str">
        <f t="shared" ca="1" si="34"/>
        <v/>
      </c>
      <c r="L765" s="7" t="str">
        <f t="shared" ca="1" si="35"/>
        <v/>
      </c>
    </row>
    <row r="766" spans="8:12" x14ac:dyDescent="0.25">
      <c r="H766" s="10" t="str">
        <f>IF(G766="","",VLOOKUP(G766,MEGHBELA!$A$2:$C$100,3,FALSE))</f>
        <v/>
      </c>
      <c r="I766" s="19"/>
      <c r="J766" s="22" t="str">
        <f t="shared" si="33"/>
        <v/>
      </c>
      <c r="K766" s="10" t="str">
        <f t="shared" ca="1" si="34"/>
        <v/>
      </c>
      <c r="L766" s="7" t="str">
        <f t="shared" ca="1" si="35"/>
        <v/>
      </c>
    </row>
    <row r="767" spans="8:12" x14ac:dyDescent="0.25">
      <c r="H767" s="10" t="str">
        <f>IF(G767="","",VLOOKUP(G767,MEGHBELA!$A$2:$C$100,3,FALSE))</f>
        <v/>
      </c>
      <c r="I767" s="18"/>
      <c r="J767" s="22" t="str">
        <f t="shared" si="33"/>
        <v/>
      </c>
      <c r="K767" s="10" t="str">
        <f t="shared" ca="1" si="34"/>
        <v/>
      </c>
      <c r="L767" s="7" t="str">
        <f t="shared" ca="1" si="35"/>
        <v/>
      </c>
    </row>
    <row r="768" spans="8:12" x14ac:dyDescent="0.25">
      <c r="H768" s="10" t="str">
        <f>IF(G768="","",VLOOKUP(G768,MEGHBELA!$A$2:$C$100,3,FALSE))</f>
        <v/>
      </c>
      <c r="I768" s="19"/>
      <c r="J768" s="22" t="str">
        <f t="shared" si="33"/>
        <v/>
      </c>
      <c r="K768" s="10" t="str">
        <f t="shared" ca="1" si="34"/>
        <v/>
      </c>
      <c r="L768" s="7" t="str">
        <f t="shared" ca="1" si="35"/>
        <v/>
      </c>
    </row>
    <row r="769" spans="8:12" x14ac:dyDescent="0.25">
      <c r="H769" s="10" t="str">
        <f>IF(G769="","",VLOOKUP(G769,MEGHBELA!$A$2:$C$100,3,FALSE))</f>
        <v/>
      </c>
      <c r="I769" s="18"/>
      <c r="J769" s="22" t="str">
        <f t="shared" si="33"/>
        <v/>
      </c>
      <c r="K769" s="10" t="str">
        <f t="shared" ca="1" si="34"/>
        <v/>
      </c>
      <c r="L769" s="7" t="str">
        <f t="shared" ca="1" si="35"/>
        <v/>
      </c>
    </row>
    <row r="770" spans="8:12" x14ac:dyDescent="0.25">
      <c r="H770" s="10" t="str">
        <f>IF(G770="","",VLOOKUP(G770,MEGHBELA!$A$2:$C$100,3,FALSE))</f>
        <v/>
      </c>
      <c r="I770" s="19"/>
      <c r="J770" s="22" t="str">
        <f t="shared" ref="J770:J833" si="36">IF(OR(I770="",H770=""),"",I770+H770)</f>
        <v/>
      </c>
      <c r="K770" s="10" t="str">
        <f t="shared" ref="K770:K833" ca="1" si="37">IF(J770="","",J770-TODAY())</f>
        <v/>
      </c>
      <c r="L770" s="7" t="str">
        <f t="shared" ref="L770:L833" ca="1" si="38">IF(K770="","",
IF(K770&lt;0,
HYPERLINK("https://web.whatsapp.com/send?phone=91"&amp;F770&amp;"&amp;text=Dear%20Customer,%20your%20internet%20plan%20expired%20on%20"&amp;TEXT(J770,"dd-mm-yyyy")&amp;".%20Your%20service%20is%20now%20stopped.%20Please%20renew%20immediately%20to%20restore%20service.%0A-----TRUESPEED%20BROADBAND","Send Stop Message"),
IF(K770&lt;=3,
HYPERLINK("https://web.whatsapp.com/send?phone=91"&amp;F770&amp;"&amp;text=Dear%20Customer,%20your%20internet%20plan%20will%20expire%20in%20"&amp;K770&amp;"%20days.%20Please%20renew%20before%20"&amp;TEXT(J770,"dd-mm-yyyy")&amp;".%0A-----TRUESPEED%20BROADBAND","Send Renewal Alert"),
"")))</f>
        <v/>
      </c>
    </row>
    <row r="771" spans="8:12" x14ac:dyDescent="0.25">
      <c r="H771" s="10" t="str">
        <f>IF(G771="","",VLOOKUP(G771,MEGHBELA!$A$2:$C$100,3,FALSE))</f>
        <v/>
      </c>
      <c r="I771" s="18"/>
      <c r="J771" s="22" t="str">
        <f t="shared" si="36"/>
        <v/>
      </c>
      <c r="K771" s="10" t="str">
        <f t="shared" ca="1" si="37"/>
        <v/>
      </c>
      <c r="L771" s="7" t="str">
        <f t="shared" ca="1" si="38"/>
        <v/>
      </c>
    </row>
    <row r="772" spans="8:12" x14ac:dyDescent="0.25">
      <c r="H772" s="10" t="str">
        <f>IF(G772="","",VLOOKUP(G772,MEGHBELA!$A$2:$C$100,3,FALSE))</f>
        <v/>
      </c>
      <c r="I772" s="19"/>
      <c r="J772" s="22" t="str">
        <f t="shared" si="36"/>
        <v/>
      </c>
      <c r="K772" s="10" t="str">
        <f t="shared" ca="1" si="37"/>
        <v/>
      </c>
      <c r="L772" s="7" t="str">
        <f t="shared" ca="1" si="38"/>
        <v/>
      </c>
    </row>
    <row r="773" spans="8:12" x14ac:dyDescent="0.25">
      <c r="H773" s="10" t="str">
        <f>IF(G773="","",VLOOKUP(G773,MEGHBELA!$A$2:$C$100,3,FALSE))</f>
        <v/>
      </c>
      <c r="I773" s="18"/>
      <c r="J773" s="22" t="str">
        <f t="shared" si="36"/>
        <v/>
      </c>
      <c r="K773" s="10" t="str">
        <f t="shared" ca="1" si="37"/>
        <v/>
      </c>
      <c r="L773" s="7" t="str">
        <f t="shared" ca="1" si="38"/>
        <v/>
      </c>
    </row>
    <row r="774" spans="8:12" x14ac:dyDescent="0.25">
      <c r="H774" s="10" t="str">
        <f>IF(G774="","",VLOOKUP(G774,MEGHBELA!$A$2:$C$100,3,FALSE))</f>
        <v/>
      </c>
      <c r="I774" s="19"/>
      <c r="J774" s="22" t="str">
        <f t="shared" si="36"/>
        <v/>
      </c>
      <c r="K774" s="10" t="str">
        <f t="shared" ca="1" si="37"/>
        <v/>
      </c>
      <c r="L774" s="7" t="str">
        <f t="shared" ca="1" si="38"/>
        <v/>
      </c>
    </row>
    <row r="775" spans="8:12" x14ac:dyDescent="0.25">
      <c r="H775" s="10" t="str">
        <f>IF(G775="","",VLOOKUP(G775,MEGHBELA!$A$2:$C$100,3,FALSE))</f>
        <v/>
      </c>
      <c r="I775" s="18"/>
      <c r="J775" s="22" t="str">
        <f t="shared" si="36"/>
        <v/>
      </c>
      <c r="K775" s="10" t="str">
        <f t="shared" ca="1" si="37"/>
        <v/>
      </c>
      <c r="L775" s="7" t="str">
        <f t="shared" ca="1" si="38"/>
        <v/>
      </c>
    </row>
    <row r="776" spans="8:12" x14ac:dyDescent="0.25">
      <c r="H776" s="10" t="str">
        <f>IF(G776="","",VLOOKUP(G776,MEGHBELA!$A$2:$C$100,3,FALSE))</f>
        <v/>
      </c>
      <c r="I776" s="19"/>
      <c r="J776" s="22" t="str">
        <f t="shared" si="36"/>
        <v/>
      </c>
      <c r="K776" s="10" t="str">
        <f t="shared" ca="1" si="37"/>
        <v/>
      </c>
      <c r="L776" s="7" t="str">
        <f t="shared" ca="1" si="38"/>
        <v/>
      </c>
    </row>
    <row r="777" spans="8:12" x14ac:dyDescent="0.25">
      <c r="H777" s="10" t="str">
        <f>IF(G777="","",VLOOKUP(G777,MEGHBELA!$A$2:$C$100,3,FALSE))</f>
        <v/>
      </c>
      <c r="I777" s="18"/>
      <c r="J777" s="22" t="str">
        <f t="shared" si="36"/>
        <v/>
      </c>
      <c r="K777" s="10" t="str">
        <f t="shared" ca="1" si="37"/>
        <v/>
      </c>
      <c r="L777" s="7" t="str">
        <f t="shared" ca="1" si="38"/>
        <v/>
      </c>
    </row>
    <row r="778" spans="8:12" x14ac:dyDescent="0.25">
      <c r="H778" s="10" t="str">
        <f>IF(G778="","",VLOOKUP(G778,MEGHBELA!$A$2:$C$100,3,FALSE))</f>
        <v/>
      </c>
      <c r="I778" s="19"/>
      <c r="J778" s="22" t="str">
        <f t="shared" si="36"/>
        <v/>
      </c>
      <c r="K778" s="10" t="str">
        <f t="shared" ca="1" si="37"/>
        <v/>
      </c>
      <c r="L778" s="7" t="str">
        <f t="shared" ca="1" si="38"/>
        <v/>
      </c>
    </row>
    <row r="779" spans="8:12" x14ac:dyDescent="0.25">
      <c r="H779" s="10" t="str">
        <f>IF(G779="","",VLOOKUP(G779,MEGHBELA!$A$2:$C$100,3,FALSE))</f>
        <v/>
      </c>
      <c r="I779" s="18"/>
      <c r="J779" s="22" t="str">
        <f t="shared" si="36"/>
        <v/>
      </c>
      <c r="K779" s="10" t="str">
        <f t="shared" ca="1" si="37"/>
        <v/>
      </c>
      <c r="L779" s="7" t="str">
        <f t="shared" ca="1" si="38"/>
        <v/>
      </c>
    </row>
    <row r="780" spans="8:12" x14ac:dyDescent="0.25">
      <c r="H780" s="10" t="str">
        <f>IF(G780="","",VLOOKUP(G780,MEGHBELA!$A$2:$C$100,3,FALSE))</f>
        <v/>
      </c>
      <c r="I780" s="19"/>
      <c r="J780" s="22" t="str">
        <f t="shared" si="36"/>
        <v/>
      </c>
      <c r="K780" s="10" t="str">
        <f t="shared" ca="1" si="37"/>
        <v/>
      </c>
      <c r="L780" s="7" t="str">
        <f t="shared" ca="1" si="38"/>
        <v/>
      </c>
    </row>
    <row r="781" spans="8:12" x14ac:dyDescent="0.25">
      <c r="H781" s="10" t="str">
        <f>IF(G781="","",VLOOKUP(G781,MEGHBELA!$A$2:$C$100,3,FALSE))</f>
        <v/>
      </c>
      <c r="I781" s="18"/>
      <c r="J781" s="22" t="str">
        <f t="shared" si="36"/>
        <v/>
      </c>
      <c r="K781" s="10" t="str">
        <f t="shared" ca="1" si="37"/>
        <v/>
      </c>
      <c r="L781" s="7" t="str">
        <f t="shared" ca="1" si="38"/>
        <v/>
      </c>
    </row>
    <row r="782" spans="8:12" x14ac:dyDescent="0.25">
      <c r="H782" s="10" t="str">
        <f>IF(G782="","",VLOOKUP(G782,MEGHBELA!$A$2:$C$100,3,FALSE))</f>
        <v/>
      </c>
      <c r="I782" s="19"/>
      <c r="J782" s="22" t="str">
        <f t="shared" si="36"/>
        <v/>
      </c>
      <c r="K782" s="10" t="str">
        <f t="shared" ca="1" si="37"/>
        <v/>
      </c>
      <c r="L782" s="7" t="str">
        <f t="shared" ca="1" si="38"/>
        <v/>
      </c>
    </row>
    <row r="783" spans="8:12" x14ac:dyDescent="0.25">
      <c r="H783" s="10" t="str">
        <f>IF(G783="","",VLOOKUP(G783,MEGHBELA!$A$2:$C$100,3,FALSE))</f>
        <v/>
      </c>
      <c r="I783" s="18"/>
      <c r="J783" s="22" t="str">
        <f t="shared" si="36"/>
        <v/>
      </c>
      <c r="K783" s="10" t="str">
        <f t="shared" ca="1" si="37"/>
        <v/>
      </c>
      <c r="L783" s="7" t="str">
        <f t="shared" ca="1" si="38"/>
        <v/>
      </c>
    </row>
    <row r="784" spans="8:12" x14ac:dyDescent="0.25">
      <c r="H784" s="10" t="str">
        <f>IF(G784="","",VLOOKUP(G784,MEGHBELA!$A$2:$C$100,3,FALSE))</f>
        <v/>
      </c>
      <c r="I784" s="19"/>
      <c r="J784" s="22" t="str">
        <f t="shared" si="36"/>
        <v/>
      </c>
      <c r="K784" s="10" t="str">
        <f t="shared" ca="1" si="37"/>
        <v/>
      </c>
      <c r="L784" s="7" t="str">
        <f t="shared" ca="1" si="38"/>
        <v/>
      </c>
    </row>
    <row r="785" spans="8:12" x14ac:dyDescent="0.25">
      <c r="H785" s="10" t="str">
        <f>IF(G785="","",VLOOKUP(G785,MEGHBELA!$A$2:$C$100,3,FALSE))</f>
        <v/>
      </c>
      <c r="I785" s="18"/>
      <c r="J785" s="22" t="str">
        <f t="shared" si="36"/>
        <v/>
      </c>
      <c r="K785" s="10" t="str">
        <f t="shared" ca="1" si="37"/>
        <v/>
      </c>
      <c r="L785" s="7" t="str">
        <f t="shared" ca="1" si="38"/>
        <v/>
      </c>
    </row>
    <row r="786" spans="8:12" x14ac:dyDescent="0.25">
      <c r="H786" s="10" t="str">
        <f>IF(G786="","",VLOOKUP(G786,MEGHBELA!$A$2:$C$100,3,FALSE))</f>
        <v/>
      </c>
      <c r="I786" s="19"/>
      <c r="J786" s="22" t="str">
        <f t="shared" si="36"/>
        <v/>
      </c>
      <c r="K786" s="10" t="str">
        <f t="shared" ca="1" si="37"/>
        <v/>
      </c>
      <c r="L786" s="7" t="str">
        <f t="shared" ca="1" si="38"/>
        <v/>
      </c>
    </row>
    <row r="787" spans="8:12" x14ac:dyDescent="0.25">
      <c r="H787" s="10" t="str">
        <f>IF(G787="","",VLOOKUP(G787,MEGHBELA!$A$2:$C$100,3,FALSE))</f>
        <v/>
      </c>
      <c r="I787" s="18"/>
      <c r="J787" s="22" t="str">
        <f t="shared" si="36"/>
        <v/>
      </c>
      <c r="K787" s="10" t="str">
        <f t="shared" ca="1" si="37"/>
        <v/>
      </c>
      <c r="L787" s="7" t="str">
        <f t="shared" ca="1" si="38"/>
        <v/>
      </c>
    </row>
    <row r="788" spans="8:12" x14ac:dyDescent="0.25">
      <c r="H788" s="10" t="str">
        <f>IF(G788="","",VLOOKUP(G788,MEGHBELA!$A$2:$C$100,3,FALSE))</f>
        <v/>
      </c>
      <c r="I788" s="19"/>
      <c r="J788" s="22" t="str">
        <f t="shared" si="36"/>
        <v/>
      </c>
      <c r="K788" s="10" t="str">
        <f t="shared" ca="1" si="37"/>
        <v/>
      </c>
      <c r="L788" s="7" t="str">
        <f t="shared" ca="1" si="38"/>
        <v/>
      </c>
    </row>
    <row r="789" spans="8:12" x14ac:dyDescent="0.25">
      <c r="H789" s="10" t="str">
        <f>IF(G789="","",VLOOKUP(G789,MEGHBELA!$A$2:$C$100,3,FALSE))</f>
        <v/>
      </c>
      <c r="I789" s="18"/>
      <c r="J789" s="22" t="str">
        <f t="shared" si="36"/>
        <v/>
      </c>
      <c r="K789" s="10" t="str">
        <f t="shared" ca="1" si="37"/>
        <v/>
      </c>
      <c r="L789" s="7" t="str">
        <f t="shared" ca="1" si="38"/>
        <v/>
      </c>
    </row>
    <row r="790" spans="8:12" x14ac:dyDescent="0.25">
      <c r="H790" s="10" t="str">
        <f>IF(G790="","",VLOOKUP(G790,MEGHBELA!$A$2:$C$100,3,FALSE))</f>
        <v/>
      </c>
      <c r="I790" s="19"/>
      <c r="J790" s="22" t="str">
        <f t="shared" si="36"/>
        <v/>
      </c>
      <c r="K790" s="10" t="str">
        <f t="shared" ca="1" si="37"/>
        <v/>
      </c>
      <c r="L790" s="7" t="str">
        <f t="shared" ca="1" si="38"/>
        <v/>
      </c>
    </row>
    <row r="791" spans="8:12" x14ac:dyDescent="0.25">
      <c r="H791" s="10" t="str">
        <f>IF(G791="","",VLOOKUP(G791,MEGHBELA!$A$2:$C$100,3,FALSE))</f>
        <v/>
      </c>
      <c r="I791" s="18"/>
      <c r="J791" s="22" t="str">
        <f t="shared" si="36"/>
        <v/>
      </c>
      <c r="K791" s="10" t="str">
        <f t="shared" ca="1" si="37"/>
        <v/>
      </c>
      <c r="L791" s="7" t="str">
        <f t="shared" ca="1" si="38"/>
        <v/>
      </c>
    </row>
    <row r="792" spans="8:12" x14ac:dyDescent="0.25">
      <c r="H792" s="10" t="str">
        <f>IF(G792="","",VLOOKUP(G792,MEGHBELA!$A$2:$C$100,3,FALSE))</f>
        <v/>
      </c>
      <c r="I792" s="19"/>
      <c r="J792" s="22" t="str">
        <f t="shared" si="36"/>
        <v/>
      </c>
      <c r="K792" s="10" t="str">
        <f t="shared" ca="1" si="37"/>
        <v/>
      </c>
      <c r="L792" s="7" t="str">
        <f t="shared" ca="1" si="38"/>
        <v/>
      </c>
    </row>
    <row r="793" spans="8:12" x14ac:dyDescent="0.25">
      <c r="H793" s="10" t="str">
        <f>IF(G793="","",VLOOKUP(G793,MEGHBELA!$A$2:$C$100,3,FALSE))</f>
        <v/>
      </c>
      <c r="I793" s="18"/>
      <c r="J793" s="22" t="str">
        <f t="shared" si="36"/>
        <v/>
      </c>
      <c r="K793" s="10" t="str">
        <f t="shared" ca="1" si="37"/>
        <v/>
      </c>
      <c r="L793" s="7" t="str">
        <f t="shared" ca="1" si="38"/>
        <v/>
      </c>
    </row>
    <row r="794" spans="8:12" x14ac:dyDescent="0.25">
      <c r="H794" s="10" t="str">
        <f>IF(G794="","",VLOOKUP(G794,MEGHBELA!$A$2:$C$100,3,FALSE))</f>
        <v/>
      </c>
      <c r="I794" s="19"/>
      <c r="J794" s="22" t="str">
        <f t="shared" si="36"/>
        <v/>
      </c>
      <c r="K794" s="10" t="str">
        <f t="shared" ca="1" si="37"/>
        <v/>
      </c>
      <c r="L794" s="7" t="str">
        <f t="shared" ca="1" si="38"/>
        <v/>
      </c>
    </row>
    <row r="795" spans="8:12" x14ac:dyDescent="0.25">
      <c r="H795" s="10" t="str">
        <f>IF(G795="","",VLOOKUP(G795,MEGHBELA!$A$2:$C$100,3,FALSE))</f>
        <v/>
      </c>
      <c r="I795" s="18"/>
      <c r="J795" s="22" t="str">
        <f t="shared" si="36"/>
        <v/>
      </c>
      <c r="K795" s="10" t="str">
        <f t="shared" ca="1" si="37"/>
        <v/>
      </c>
      <c r="L795" s="7" t="str">
        <f t="shared" ca="1" si="38"/>
        <v/>
      </c>
    </row>
    <row r="796" spans="8:12" x14ac:dyDescent="0.25">
      <c r="H796" s="10" t="str">
        <f>IF(G796="","",VLOOKUP(G796,MEGHBELA!$A$2:$C$100,3,FALSE))</f>
        <v/>
      </c>
      <c r="I796" s="19"/>
      <c r="J796" s="22" t="str">
        <f t="shared" si="36"/>
        <v/>
      </c>
      <c r="K796" s="10" t="str">
        <f t="shared" ca="1" si="37"/>
        <v/>
      </c>
      <c r="L796" s="7" t="str">
        <f t="shared" ca="1" si="38"/>
        <v/>
      </c>
    </row>
    <row r="797" spans="8:12" x14ac:dyDescent="0.25">
      <c r="H797" s="10" t="str">
        <f>IF(G797="","",VLOOKUP(G797,MEGHBELA!$A$2:$C$100,3,FALSE))</f>
        <v/>
      </c>
      <c r="I797" s="18"/>
      <c r="J797" s="22" t="str">
        <f t="shared" si="36"/>
        <v/>
      </c>
      <c r="K797" s="10" t="str">
        <f t="shared" ca="1" si="37"/>
        <v/>
      </c>
      <c r="L797" s="7" t="str">
        <f t="shared" ca="1" si="38"/>
        <v/>
      </c>
    </row>
    <row r="798" spans="8:12" x14ac:dyDescent="0.25">
      <c r="H798" s="10" t="str">
        <f>IF(G798="","",VLOOKUP(G798,MEGHBELA!$A$2:$C$100,3,FALSE))</f>
        <v/>
      </c>
      <c r="I798" s="19"/>
      <c r="J798" s="22" t="str">
        <f t="shared" si="36"/>
        <v/>
      </c>
      <c r="K798" s="10" t="str">
        <f t="shared" ca="1" si="37"/>
        <v/>
      </c>
      <c r="L798" s="7" t="str">
        <f t="shared" ca="1" si="38"/>
        <v/>
      </c>
    </row>
    <row r="799" spans="8:12" x14ac:dyDescent="0.25">
      <c r="H799" s="10" t="str">
        <f>IF(G799="","",VLOOKUP(G799,MEGHBELA!$A$2:$C$100,3,FALSE))</f>
        <v/>
      </c>
      <c r="I799" s="18"/>
      <c r="J799" s="22" t="str">
        <f t="shared" si="36"/>
        <v/>
      </c>
      <c r="K799" s="10" t="str">
        <f t="shared" ca="1" si="37"/>
        <v/>
      </c>
      <c r="L799" s="7" t="str">
        <f t="shared" ca="1" si="38"/>
        <v/>
      </c>
    </row>
    <row r="800" spans="8:12" x14ac:dyDescent="0.25">
      <c r="H800" s="10" t="str">
        <f>IF(G800="","",VLOOKUP(G800,MEGHBELA!$A$2:$C$100,3,FALSE))</f>
        <v/>
      </c>
      <c r="I800" s="19"/>
      <c r="J800" s="22" t="str">
        <f t="shared" si="36"/>
        <v/>
      </c>
      <c r="K800" s="10" t="str">
        <f t="shared" ca="1" si="37"/>
        <v/>
      </c>
      <c r="L800" s="7" t="str">
        <f t="shared" ca="1" si="38"/>
        <v/>
      </c>
    </row>
    <row r="801" spans="8:12" x14ac:dyDescent="0.25">
      <c r="H801" s="10" t="str">
        <f>IF(G801="","",VLOOKUP(G801,MEGHBELA!$A$2:$C$100,3,FALSE))</f>
        <v/>
      </c>
      <c r="I801" s="18"/>
      <c r="J801" s="22" t="str">
        <f t="shared" si="36"/>
        <v/>
      </c>
      <c r="K801" s="10" t="str">
        <f t="shared" ca="1" si="37"/>
        <v/>
      </c>
      <c r="L801" s="7" t="str">
        <f t="shared" ca="1" si="38"/>
        <v/>
      </c>
    </row>
    <row r="802" spans="8:12" x14ac:dyDescent="0.25">
      <c r="H802" s="10" t="str">
        <f>IF(G802="","",VLOOKUP(G802,MEGHBELA!$A$2:$C$100,3,FALSE))</f>
        <v/>
      </c>
      <c r="I802" s="19"/>
      <c r="J802" s="22" t="str">
        <f t="shared" si="36"/>
        <v/>
      </c>
      <c r="K802" s="10" t="str">
        <f t="shared" ca="1" si="37"/>
        <v/>
      </c>
      <c r="L802" s="7" t="str">
        <f t="shared" ca="1" si="38"/>
        <v/>
      </c>
    </row>
    <row r="803" spans="8:12" x14ac:dyDescent="0.25">
      <c r="H803" s="10" t="str">
        <f>IF(G803="","",VLOOKUP(G803,MEGHBELA!$A$2:$C$100,3,FALSE))</f>
        <v/>
      </c>
      <c r="I803" s="18"/>
      <c r="J803" s="22" t="str">
        <f t="shared" si="36"/>
        <v/>
      </c>
      <c r="K803" s="10" t="str">
        <f t="shared" ca="1" si="37"/>
        <v/>
      </c>
      <c r="L803" s="7" t="str">
        <f t="shared" ca="1" si="38"/>
        <v/>
      </c>
    </row>
    <row r="804" spans="8:12" x14ac:dyDescent="0.25">
      <c r="H804" s="10" t="str">
        <f>IF(G804="","",VLOOKUP(G804,MEGHBELA!$A$2:$C$100,3,FALSE))</f>
        <v/>
      </c>
      <c r="I804" s="19"/>
      <c r="J804" s="22" t="str">
        <f t="shared" si="36"/>
        <v/>
      </c>
      <c r="K804" s="10" t="str">
        <f t="shared" ca="1" si="37"/>
        <v/>
      </c>
      <c r="L804" s="7" t="str">
        <f t="shared" ca="1" si="38"/>
        <v/>
      </c>
    </row>
    <row r="805" spans="8:12" x14ac:dyDescent="0.25">
      <c r="H805" s="10" t="str">
        <f>IF(G805="","",VLOOKUP(G805,MEGHBELA!$A$2:$C$100,3,FALSE))</f>
        <v/>
      </c>
      <c r="I805" s="18"/>
      <c r="J805" s="22" t="str">
        <f t="shared" si="36"/>
        <v/>
      </c>
      <c r="K805" s="10" t="str">
        <f t="shared" ca="1" si="37"/>
        <v/>
      </c>
      <c r="L805" s="7" t="str">
        <f t="shared" ca="1" si="38"/>
        <v/>
      </c>
    </row>
    <row r="806" spans="8:12" x14ac:dyDescent="0.25">
      <c r="H806" s="10" t="str">
        <f>IF(G806="","",VLOOKUP(G806,MEGHBELA!$A$2:$C$100,3,FALSE))</f>
        <v/>
      </c>
      <c r="I806" s="19"/>
      <c r="J806" s="22" t="str">
        <f t="shared" si="36"/>
        <v/>
      </c>
      <c r="K806" s="10" t="str">
        <f t="shared" ca="1" si="37"/>
        <v/>
      </c>
      <c r="L806" s="7" t="str">
        <f t="shared" ca="1" si="38"/>
        <v/>
      </c>
    </row>
    <row r="807" spans="8:12" x14ac:dyDescent="0.25">
      <c r="H807" s="10" t="str">
        <f>IF(G807="","",VLOOKUP(G807,MEGHBELA!$A$2:$C$100,3,FALSE))</f>
        <v/>
      </c>
      <c r="I807" s="18"/>
      <c r="J807" s="22" t="str">
        <f t="shared" si="36"/>
        <v/>
      </c>
      <c r="K807" s="10" t="str">
        <f t="shared" ca="1" si="37"/>
        <v/>
      </c>
      <c r="L807" s="7" t="str">
        <f t="shared" ca="1" si="38"/>
        <v/>
      </c>
    </row>
    <row r="808" spans="8:12" x14ac:dyDescent="0.25">
      <c r="H808" s="10" t="str">
        <f>IF(G808="","",VLOOKUP(G808,MEGHBELA!$A$2:$C$100,3,FALSE))</f>
        <v/>
      </c>
      <c r="I808" s="19"/>
      <c r="J808" s="22" t="str">
        <f t="shared" si="36"/>
        <v/>
      </c>
      <c r="K808" s="10" t="str">
        <f t="shared" ca="1" si="37"/>
        <v/>
      </c>
      <c r="L808" s="7" t="str">
        <f t="shared" ca="1" si="38"/>
        <v/>
      </c>
    </row>
    <row r="809" spans="8:12" x14ac:dyDescent="0.25">
      <c r="H809" s="10" t="str">
        <f>IF(G809="","",VLOOKUP(G809,MEGHBELA!$A$2:$C$100,3,FALSE))</f>
        <v/>
      </c>
      <c r="I809" s="18"/>
      <c r="J809" s="22" t="str">
        <f t="shared" si="36"/>
        <v/>
      </c>
      <c r="K809" s="10" t="str">
        <f t="shared" ca="1" si="37"/>
        <v/>
      </c>
      <c r="L809" s="7" t="str">
        <f t="shared" ca="1" si="38"/>
        <v/>
      </c>
    </row>
    <row r="810" spans="8:12" x14ac:dyDescent="0.25">
      <c r="H810" s="10" t="str">
        <f>IF(G810="","",VLOOKUP(G810,MEGHBELA!$A$2:$C$100,3,FALSE))</f>
        <v/>
      </c>
      <c r="I810" s="19"/>
      <c r="J810" s="22" t="str">
        <f t="shared" si="36"/>
        <v/>
      </c>
      <c r="K810" s="10" t="str">
        <f t="shared" ca="1" si="37"/>
        <v/>
      </c>
      <c r="L810" s="7" t="str">
        <f t="shared" ca="1" si="38"/>
        <v/>
      </c>
    </row>
    <row r="811" spans="8:12" x14ac:dyDescent="0.25">
      <c r="H811" s="10" t="str">
        <f>IF(G811="","",VLOOKUP(G811,MEGHBELA!$A$2:$C$100,3,FALSE))</f>
        <v/>
      </c>
      <c r="I811" s="18"/>
      <c r="J811" s="22" t="str">
        <f t="shared" si="36"/>
        <v/>
      </c>
      <c r="K811" s="10" t="str">
        <f t="shared" ca="1" si="37"/>
        <v/>
      </c>
      <c r="L811" s="7" t="str">
        <f t="shared" ca="1" si="38"/>
        <v/>
      </c>
    </row>
    <row r="812" spans="8:12" x14ac:dyDescent="0.25">
      <c r="H812" s="10" t="str">
        <f>IF(G812="","",VLOOKUP(G812,MEGHBELA!$A$2:$C$100,3,FALSE))</f>
        <v/>
      </c>
      <c r="I812" s="19"/>
      <c r="J812" s="22" t="str">
        <f t="shared" si="36"/>
        <v/>
      </c>
      <c r="K812" s="10" t="str">
        <f t="shared" ca="1" si="37"/>
        <v/>
      </c>
      <c r="L812" s="7" t="str">
        <f t="shared" ca="1" si="38"/>
        <v/>
      </c>
    </row>
    <row r="813" spans="8:12" x14ac:dyDescent="0.25">
      <c r="H813" s="10" t="str">
        <f>IF(G813="","",VLOOKUP(G813,MEGHBELA!$A$2:$C$100,3,FALSE))</f>
        <v/>
      </c>
      <c r="I813" s="18"/>
      <c r="J813" s="22" t="str">
        <f t="shared" si="36"/>
        <v/>
      </c>
      <c r="K813" s="10" t="str">
        <f t="shared" ca="1" si="37"/>
        <v/>
      </c>
      <c r="L813" s="7" t="str">
        <f t="shared" ca="1" si="38"/>
        <v/>
      </c>
    </row>
    <row r="814" spans="8:12" x14ac:dyDescent="0.25">
      <c r="H814" s="10" t="str">
        <f>IF(G814="","",VLOOKUP(G814,MEGHBELA!$A$2:$C$100,3,FALSE))</f>
        <v/>
      </c>
      <c r="I814" s="19"/>
      <c r="J814" s="22" t="str">
        <f t="shared" si="36"/>
        <v/>
      </c>
      <c r="K814" s="10" t="str">
        <f t="shared" ca="1" si="37"/>
        <v/>
      </c>
      <c r="L814" s="7" t="str">
        <f t="shared" ca="1" si="38"/>
        <v/>
      </c>
    </row>
    <row r="815" spans="8:12" x14ac:dyDescent="0.25">
      <c r="H815" s="10" t="str">
        <f>IF(G815="","",VLOOKUP(G815,MEGHBELA!$A$2:$C$100,3,FALSE))</f>
        <v/>
      </c>
      <c r="I815" s="18"/>
      <c r="J815" s="22" t="str">
        <f t="shared" si="36"/>
        <v/>
      </c>
      <c r="K815" s="10" t="str">
        <f t="shared" ca="1" si="37"/>
        <v/>
      </c>
      <c r="L815" s="7" t="str">
        <f t="shared" ca="1" si="38"/>
        <v/>
      </c>
    </row>
    <row r="816" spans="8:12" x14ac:dyDescent="0.25">
      <c r="H816" s="10" t="str">
        <f>IF(G816="","",VLOOKUP(G816,MEGHBELA!$A$2:$C$100,3,FALSE))</f>
        <v/>
      </c>
      <c r="I816" s="19"/>
      <c r="J816" s="22" t="str">
        <f t="shared" si="36"/>
        <v/>
      </c>
      <c r="K816" s="10" t="str">
        <f t="shared" ca="1" si="37"/>
        <v/>
      </c>
      <c r="L816" s="7" t="str">
        <f t="shared" ca="1" si="38"/>
        <v/>
      </c>
    </row>
    <row r="817" spans="8:12" x14ac:dyDescent="0.25">
      <c r="H817" s="10" t="str">
        <f>IF(G817="","",VLOOKUP(G817,MEGHBELA!$A$2:$C$100,3,FALSE))</f>
        <v/>
      </c>
      <c r="I817" s="18"/>
      <c r="J817" s="22" t="str">
        <f t="shared" si="36"/>
        <v/>
      </c>
      <c r="K817" s="10" t="str">
        <f t="shared" ca="1" si="37"/>
        <v/>
      </c>
      <c r="L817" s="7" t="str">
        <f t="shared" ca="1" si="38"/>
        <v/>
      </c>
    </row>
    <row r="818" spans="8:12" x14ac:dyDescent="0.25">
      <c r="H818" s="10" t="str">
        <f>IF(G818="","",VLOOKUP(G818,MEGHBELA!$A$2:$C$100,3,FALSE))</f>
        <v/>
      </c>
      <c r="I818" s="19"/>
      <c r="J818" s="22" t="str">
        <f t="shared" si="36"/>
        <v/>
      </c>
      <c r="K818" s="10" t="str">
        <f t="shared" ca="1" si="37"/>
        <v/>
      </c>
      <c r="L818" s="7" t="str">
        <f t="shared" ca="1" si="38"/>
        <v/>
      </c>
    </row>
    <row r="819" spans="8:12" x14ac:dyDescent="0.25">
      <c r="H819" s="10" t="str">
        <f>IF(G819="","",VLOOKUP(G819,MEGHBELA!$A$2:$C$100,3,FALSE))</f>
        <v/>
      </c>
      <c r="I819" s="18"/>
      <c r="J819" s="22" t="str">
        <f t="shared" si="36"/>
        <v/>
      </c>
      <c r="K819" s="10" t="str">
        <f t="shared" ca="1" si="37"/>
        <v/>
      </c>
      <c r="L819" s="7" t="str">
        <f t="shared" ca="1" si="38"/>
        <v/>
      </c>
    </row>
    <row r="820" spans="8:12" x14ac:dyDescent="0.25">
      <c r="H820" s="10" t="str">
        <f>IF(G820="","",VLOOKUP(G820,MEGHBELA!$A$2:$C$100,3,FALSE))</f>
        <v/>
      </c>
      <c r="I820" s="19"/>
      <c r="J820" s="22" t="str">
        <f t="shared" si="36"/>
        <v/>
      </c>
      <c r="K820" s="10" t="str">
        <f t="shared" ca="1" si="37"/>
        <v/>
      </c>
      <c r="L820" s="7" t="str">
        <f t="shared" ca="1" si="38"/>
        <v/>
      </c>
    </row>
    <row r="821" spans="8:12" x14ac:dyDescent="0.25">
      <c r="H821" s="10" t="str">
        <f>IF(G821="","",VLOOKUP(G821,MEGHBELA!$A$2:$C$100,3,FALSE))</f>
        <v/>
      </c>
      <c r="I821" s="18"/>
      <c r="J821" s="22" t="str">
        <f t="shared" si="36"/>
        <v/>
      </c>
      <c r="K821" s="10" t="str">
        <f t="shared" ca="1" si="37"/>
        <v/>
      </c>
      <c r="L821" s="7" t="str">
        <f t="shared" ca="1" si="38"/>
        <v/>
      </c>
    </row>
    <row r="822" spans="8:12" x14ac:dyDescent="0.25">
      <c r="H822" s="10" t="str">
        <f>IF(G822="","",VLOOKUP(G822,MEGHBELA!$A$2:$C$100,3,FALSE))</f>
        <v/>
      </c>
      <c r="I822" s="19"/>
      <c r="J822" s="22" t="str">
        <f t="shared" si="36"/>
        <v/>
      </c>
      <c r="K822" s="10" t="str">
        <f t="shared" ca="1" si="37"/>
        <v/>
      </c>
      <c r="L822" s="7" t="str">
        <f t="shared" ca="1" si="38"/>
        <v/>
      </c>
    </row>
    <row r="823" spans="8:12" x14ac:dyDescent="0.25">
      <c r="H823" s="10" t="str">
        <f>IF(G823="","",VLOOKUP(G823,MEGHBELA!$A$2:$C$100,3,FALSE))</f>
        <v/>
      </c>
      <c r="I823" s="18"/>
      <c r="J823" s="22" t="str">
        <f t="shared" si="36"/>
        <v/>
      </c>
      <c r="K823" s="10" t="str">
        <f t="shared" ca="1" si="37"/>
        <v/>
      </c>
      <c r="L823" s="7" t="str">
        <f t="shared" ca="1" si="38"/>
        <v/>
      </c>
    </row>
    <row r="824" spans="8:12" x14ac:dyDescent="0.25">
      <c r="H824" s="10" t="str">
        <f>IF(G824="","",VLOOKUP(G824,MEGHBELA!$A$2:$C$100,3,FALSE))</f>
        <v/>
      </c>
      <c r="I824" s="19"/>
      <c r="J824" s="22" t="str">
        <f t="shared" si="36"/>
        <v/>
      </c>
      <c r="K824" s="10" t="str">
        <f t="shared" ca="1" si="37"/>
        <v/>
      </c>
      <c r="L824" s="7" t="str">
        <f t="shared" ca="1" si="38"/>
        <v/>
      </c>
    </row>
    <row r="825" spans="8:12" x14ac:dyDescent="0.25">
      <c r="H825" s="10" t="str">
        <f>IF(G825="","",VLOOKUP(G825,MEGHBELA!$A$2:$C$100,3,FALSE))</f>
        <v/>
      </c>
      <c r="I825" s="18"/>
      <c r="J825" s="22" t="str">
        <f t="shared" si="36"/>
        <v/>
      </c>
      <c r="K825" s="10" t="str">
        <f t="shared" ca="1" si="37"/>
        <v/>
      </c>
      <c r="L825" s="7" t="str">
        <f t="shared" ca="1" si="38"/>
        <v/>
      </c>
    </row>
    <row r="826" spans="8:12" x14ac:dyDescent="0.25">
      <c r="H826" s="10" t="str">
        <f>IF(G826="","",VLOOKUP(G826,MEGHBELA!$A$2:$C$100,3,FALSE))</f>
        <v/>
      </c>
      <c r="I826" s="19"/>
      <c r="J826" s="22" t="str">
        <f t="shared" si="36"/>
        <v/>
      </c>
      <c r="K826" s="10" t="str">
        <f t="shared" ca="1" si="37"/>
        <v/>
      </c>
      <c r="L826" s="7" t="str">
        <f t="shared" ca="1" si="38"/>
        <v/>
      </c>
    </row>
    <row r="827" spans="8:12" x14ac:dyDescent="0.25">
      <c r="H827" s="10" t="str">
        <f>IF(G827="","",VLOOKUP(G827,MEGHBELA!$A$2:$C$100,3,FALSE))</f>
        <v/>
      </c>
      <c r="I827" s="18"/>
      <c r="J827" s="22" t="str">
        <f t="shared" si="36"/>
        <v/>
      </c>
      <c r="K827" s="10" t="str">
        <f t="shared" ca="1" si="37"/>
        <v/>
      </c>
      <c r="L827" s="7" t="str">
        <f t="shared" ca="1" si="38"/>
        <v/>
      </c>
    </row>
    <row r="828" spans="8:12" x14ac:dyDescent="0.25">
      <c r="H828" s="10" t="str">
        <f>IF(G828="","",VLOOKUP(G828,MEGHBELA!$A$2:$C$100,3,FALSE))</f>
        <v/>
      </c>
      <c r="I828" s="19"/>
      <c r="J828" s="22" t="str">
        <f t="shared" si="36"/>
        <v/>
      </c>
      <c r="K828" s="10" t="str">
        <f t="shared" ca="1" si="37"/>
        <v/>
      </c>
      <c r="L828" s="7" t="str">
        <f t="shared" ca="1" si="38"/>
        <v/>
      </c>
    </row>
    <row r="829" spans="8:12" x14ac:dyDescent="0.25">
      <c r="H829" s="10" t="str">
        <f>IF(G829="","",VLOOKUP(G829,MEGHBELA!$A$2:$C$100,3,FALSE))</f>
        <v/>
      </c>
      <c r="I829" s="18"/>
      <c r="J829" s="22" t="str">
        <f t="shared" si="36"/>
        <v/>
      </c>
      <c r="K829" s="10" t="str">
        <f t="shared" ca="1" si="37"/>
        <v/>
      </c>
      <c r="L829" s="7" t="str">
        <f t="shared" ca="1" si="38"/>
        <v/>
      </c>
    </row>
    <row r="830" spans="8:12" x14ac:dyDescent="0.25">
      <c r="H830" s="10" t="str">
        <f>IF(G830="","",VLOOKUP(G830,MEGHBELA!$A$2:$C$100,3,FALSE))</f>
        <v/>
      </c>
      <c r="I830" s="19"/>
      <c r="J830" s="22" t="str">
        <f t="shared" si="36"/>
        <v/>
      </c>
      <c r="K830" s="10" t="str">
        <f t="shared" ca="1" si="37"/>
        <v/>
      </c>
      <c r="L830" s="7" t="str">
        <f t="shared" ca="1" si="38"/>
        <v/>
      </c>
    </row>
    <row r="831" spans="8:12" x14ac:dyDescent="0.25">
      <c r="H831" s="10" t="str">
        <f>IF(G831="","",VLOOKUP(G831,MEGHBELA!$A$2:$C$100,3,FALSE))</f>
        <v/>
      </c>
      <c r="I831" s="18"/>
      <c r="J831" s="22" t="str">
        <f t="shared" si="36"/>
        <v/>
      </c>
      <c r="K831" s="10" t="str">
        <f t="shared" ca="1" si="37"/>
        <v/>
      </c>
      <c r="L831" s="7" t="str">
        <f t="shared" ca="1" si="38"/>
        <v/>
      </c>
    </row>
    <row r="832" spans="8:12" x14ac:dyDescent="0.25">
      <c r="H832" s="10" t="str">
        <f>IF(G832="","",VLOOKUP(G832,MEGHBELA!$A$2:$C$100,3,FALSE))</f>
        <v/>
      </c>
      <c r="I832" s="19"/>
      <c r="J832" s="22" t="str">
        <f t="shared" si="36"/>
        <v/>
      </c>
      <c r="K832" s="10" t="str">
        <f t="shared" ca="1" si="37"/>
        <v/>
      </c>
      <c r="L832" s="7" t="str">
        <f t="shared" ca="1" si="38"/>
        <v/>
      </c>
    </row>
    <row r="833" spans="8:12" x14ac:dyDescent="0.25">
      <c r="H833" s="10" t="str">
        <f>IF(G833="","",VLOOKUP(G833,MEGHBELA!$A$2:$C$100,3,FALSE))</f>
        <v/>
      </c>
      <c r="I833" s="18"/>
      <c r="J833" s="22" t="str">
        <f t="shared" si="36"/>
        <v/>
      </c>
      <c r="K833" s="10" t="str">
        <f t="shared" ca="1" si="37"/>
        <v/>
      </c>
      <c r="L833" s="7" t="str">
        <f t="shared" ca="1" si="38"/>
        <v/>
      </c>
    </row>
    <row r="834" spans="8:12" x14ac:dyDescent="0.25">
      <c r="H834" s="10" t="str">
        <f>IF(G834="","",VLOOKUP(G834,MEGHBELA!$A$2:$C$100,3,FALSE))</f>
        <v/>
      </c>
      <c r="I834" s="19"/>
      <c r="J834" s="22" t="str">
        <f t="shared" ref="J834:J897" si="39">IF(OR(I834="",H834=""),"",I834+H834)</f>
        <v/>
      </c>
      <c r="K834" s="10" t="str">
        <f t="shared" ref="K834:K897" ca="1" si="40">IF(J834="","",J834-TODAY())</f>
        <v/>
      </c>
      <c r="L834" s="7" t="str">
        <f t="shared" ref="L834:L897" ca="1" si="41">IF(K834="","",
IF(K834&lt;0,
HYPERLINK("https://web.whatsapp.com/send?phone=91"&amp;F834&amp;"&amp;text=Dear%20Customer,%20your%20internet%20plan%20expired%20on%20"&amp;TEXT(J834,"dd-mm-yyyy")&amp;".%20Your%20service%20is%20now%20stopped.%20Please%20renew%20immediately%20to%20restore%20service.%0A-----TRUESPEED%20BROADBAND","Send Stop Message"),
IF(K834&lt;=3,
HYPERLINK("https://web.whatsapp.com/send?phone=91"&amp;F834&amp;"&amp;text=Dear%20Customer,%20your%20internet%20plan%20will%20expire%20in%20"&amp;K834&amp;"%20days.%20Please%20renew%20before%20"&amp;TEXT(J834,"dd-mm-yyyy")&amp;".%0A-----TRUESPEED%20BROADBAND","Send Renewal Alert"),
"")))</f>
        <v/>
      </c>
    </row>
    <row r="835" spans="8:12" x14ac:dyDescent="0.25">
      <c r="H835" s="10" t="str">
        <f>IF(G835="","",VLOOKUP(G835,MEGHBELA!$A$2:$C$100,3,FALSE))</f>
        <v/>
      </c>
      <c r="I835" s="18"/>
      <c r="J835" s="22" t="str">
        <f t="shared" si="39"/>
        <v/>
      </c>
      <c r="K835" s="10" t="str">
        <f t="shared" ca="1" si="40"/>
        <v/>
      </c>
      <c r="L835" s="7" t="str">
        <f t="shared" ca="1" si="41"/>
        <v/>
      </c>
    </row>
    <row r="836" spans="8:12" x14ac:dyDescent="0.25">
      <c r="H836" s="10" t="str">
        <f>IF(G836="","",VLOOKUP(G836,MEGHBELA!$A$2:$C$100,3,FALSE))</f>
        <v/>
      </c>
      <c r="I836" s="19"/>
      <c r="J836" s="22" t="str">
        <f t="shared" si="39"/>
        <v/>
      </c>
      <c r="K836" s="10" t="str">
        <f t="shared" ca="1" si="40"/>
        <v/>
      </c>
      <c r="L836" s="7" t="str">
        <f t="shared" ca="1" si="41"/>
        <v/>
      </c>
    </row>
    <row r="837" spans="8:12" x14ac:dyDescent="0.25">
      <c r="H837" s="10" t="str">
        <f>IF(G837="","",VLOOKUP(G837,MEGHBELA!$A$2:$C$100,3,FALSE))</f>
        <v/>
      </c>
      <c r="I837" s="18"/>
      <c r="J837" s="22" t="str">
        <f t="shared" si="39"/>
        <v/>
      </c>
      <c r="K837" s="10" t="str">
        <f t="shared" ca="1" si="40"/>
        <v/>
      </c>
      <c r="L837" s="7" t="str">
        <f t="shared" ca="1" si="41"/>
        <v/>
      </c>
    </row>
    <row r="838" spans="8:12" x14ac:dyDescent="0.25">
      <c r="H838" s="10" t="str">
        <f>IF(G838="","",VLOOKUP(G838,MEGHBELA!$A$2:$C$100,3,FALSE))</f>
        <v/>
      </c>
      <c r="I838" s="19"/>
      <c r="J838" s="22" t="str">
        <f t="shared" si="39"/>
        <v/>
      </c>
      <c r="K838" s="10" t="str">
        <f t="shared" ca="1" si="40"/>
        <v/>
      </c>
      <c r="L838" s="7" t="str">
        <f t="shared" ca="1" si="41"/>
        <v/>
      </c>
    </row>
    <row r="839" spans="8:12" x14ac:dyDescent="0.25">
      <c r="H839" s="10" t="str">
        <f>IF(G839="","",VLOOKUP(G839,MEGHBELA!$A$2:$C$100,3,FALSE))</f>
        <v/>
      </c>
      <c r="I839" s="18"/>
      <c r="J839" s="22" t="str">
        <f t="shared" si="39"/>
        <v/>
      </c>
      <c r="K839" s="10" t="str">
        <f t="shared" ca="1" si="40"/>
        <v/>
      </c>
      <c r="L839" s="7" t="str">
        <f t="shared" ca="1" si="41"/>
        <v/>
      </c>
    </row>
    <row r="840" spans="8:12" x14ac:dyDescent="0.25">
      <c r="H840" s="10" t="str">
        <f>IF(G840="","",VLOOKUP(G840,MEGHBELA!$A$2:$C$100,3,FALSE))</f>
        <v/>
      </c>
      <c r="I840" s="19"/>
      <c r="J840" s="22" t="str">
        <f t="shared" si="39"/>
        <v/>
      </c>
      <c r="K840" s="10" t="str">
        <f t="shared" ca="1" si="40"/>
        <v/>
      </c>
      <c r="L840" s="7" t="str">
        <f t="shared" ca="1" si="41"/>
        <v/>
      </c>
    </row>
    <row r="841" spans="8:12" x14ac:dyDescent="0.25">
      <c r="H841" s="10" t="str">
        <f>IF(G841="","",VLOOKUP(G841,MEGHBELA!$A$2:$C$100,3,FALSE))</f>
        <v/>
      </c>
      <c r="I841" s="18"/>
      <c r="J841" s="22" t="str">
        <f t="shared" si="39"/>
        <v/>
      </c>
      <c r="K841" s="10" t="str">
        <f t="shared" ca="1" si="40"/>
        <v/>
      </c>
      <c r="L841" s="7" t="str">
        <f t="shared" ca="1" si="41"/>
        <v/>
      </c>
    </row>
    <row r="842" spans="8:12" x14ac:dyDescent="0.25">
      <c r="H842" s="10" t="str">
        <f>IF(G842="","",VLOOKUP(G842,MEGHBELA!$A$2:$C$100,3,FALSE))</f>
        <v/>
      </c>
      <c r="I842" s="19"/>
      <c r="J842" s="22" t="str">
        <f t="shared" si="39"/>
        <v/>
      </c>
      <c r="K842" s="10" t="str">
        <f t="shared" ca="1" si="40"/>
        <v/>
      </c>
      <c r="L842" s="7" t="str">
        <f t="shared" ca="1" si="41"/>
        <v/>
      </c>
    </row>
    <row r="843" spans="8:12" x14ac:dyDescent="0.25">
      <c r="H843" s="10" t="str">
        <f>IF(G843="","",VLOOKUP(G843,MEGHBELA!$A$2:$C$100,3,FALSE))</f>
        <v/>
      </c>
      <c r="I843" s="18"/>
      <c r="J843" s="22" t="str">
        <f t="shared" si="39"/>
        <v/>
      </c>
      <c r="K843" s="10" t="str">
        <f t="shared" ca="1" si="40"/>
        <v/>
      </c>
      <c r="L843" s="7" t="str">
        <f t="shared" ca="1" si="41"/>
        <v/>
      </c>
    </row>
    <row r="844" spans="8:12" x14ac:dyDescent="0.25">
      <c r="H844" s="10" t="str">
        <f>IF(G844="","",VLOOKUP(G844,MEGHBELA!$A$2:$C$100,3,FALSE))</f>
        <v/>
      </c>
      <c r="I844" s="19"/>
      <c r="J844" s="22" t="str">
        <f t="shared" si="39"/>
        <v/>
      </c>
      <c r="K844" s="10" t="str">
        <f t="shared" ca="1" si="40"/>
        <v/>
      </c>
      <c r="L844" s="7" t="str">
        <f t="shared" ca="1" si="41"/>
        <v/>
      </c>
    </row>
    <row r="845" spans="8:12" x14ac:dyDescent="0.25">
      <c r="H845" s="10" t="str">
        <f>IF(G845="","",VLOOKUP(G845,MEGHBELA!$A$2:$C$100,3,FALSE))</f>
        <v/>
      </c>
      <c r="I845" s="18"/>
      <c r="J845" s="22" t="str">
        <f t="shared" si="39"/>
        <v/>
      </c>
      <c r="K845" s="10" t="str">
        <f t="shared" ca="1" si="40"/>
        <v/>
      </c>
      <c r="L845" s="7" t="str">
        <f t="shared" ca="1" si="41"/>
        <v/>
      </c>
    </row>
    <row r="846" spans="8:12" x14ac:dyDescent="0.25">
      <c r="H846" s="10" t="str">
        <f>IF(G846="","",VLOOKUP(G846,MEGHBELA!$A$2:$C$100,3,FALSE))</f>
        <v/>
      </c>
      <c r="I846" s="19"/>
      <c r="J846" s="22" t="str">
        <f t="shared" si="39"/>
        <v/>
      </c>
      <c r="K846" s="10" t="str">
        <f t="shared" ca="1" si="40"/>
        <v/>
      </c>
      <c r="L846" s="7" t="str">
        <f t="shared" ca="1" si="41"/>
        <v/>
      </c>
    </row>
    <row r="847" spans="8:12" x14ac:dyDescent="0.25">
      <c r="H847" s="10" t="str">
        <f>IF(G847="","",VLOOKUP(G847,MEGHBELA!$A$2:$C$100,3,FALSE))</f>
        <v/>
      </c>
      <c r="I847" s="18"/>
      <c r="J847" s="22" t="str">
        <f t="shared" si="39"/>
        <v/>
      </c>
      <c r="K847" s="10" t="str">
        <f t="shared" ca="1" si="40"/>
        <v/>
      </c>
      <c r="L847" s="7" t="str">
        <f t="shared" ca="1" si="41"/>
        <v/>
      </c>
    </row>
    <row r="848" spans="8:12" x14ac:dyDescent="0.25">
      <c r="H848" s="10" t="str">
        <f>IF(G848="","",VLOOKUP(G848,MEGHBELA!$A$2:$C$100,3,FALSE))</f>
        <v/>
      </c>
      <c r="I848" s="19"/>
      <c r="J848" s="22" t="str">
        <f t="shared" si="39"/>
        <v/>
      </c>
      <c r="K848" s="10" t="str">
        <f t="shared" ca="1" si="40"/>
        <v/>
      </c>
      <c r="L848" s="7" t="str">
        <f t="shared" ca="1" si="41"/>
        <v/>
      </c>
    </row>
    <row r="849" spans="8:12" x14ac:dyDescent="0.25">
      <c r="H849" s="10" t="str">
        <f>IF(G849="","",VLOOKUP(G849,MEGHBELA!$A$2:$C$100,3,FALSE))</f>
        <v/>
      </c>
      <c r="I849" s="18"/>
      <c r="J849" s="22" t="str">
        <f t="shared" si="39"/>
        <v/>
      </c>
      <c r="K849" s="10" t="str">
        <f t="shared" ca="1" si="40"/>
        <v/>
      </c>
      <c r="L849" s="7" t="str">
        <f t="shared" ca="1" si="41"/>
        <v/>
      </c>
    </row>
    <row r="850" spans="8:12" x14ac:dyDescent="0.25">
      <c r="H850" s="10" t="str">
        <f>IF(G850="","",VLOOKUP(G850,MEGHBELA!$A$2:$C$100,3,FALSE))</f>
        <v/>
      </c>
      <c r="I850" s="19"/>
      <c r="J850" s="22" t="str">
        <f t="shared" si="39"/>
        <v/>
      </c>
      <c r="K850" s="10" t="str">
        <f t="shared" ca="1" si="40"/>
        <v/>
      </c>
      <c r="L850" s="7" t="str">
        <f t="shared" ca="1" si="41"/>
        <v/>
      </c>
    </row>
    <row r="851" spans="8:12" x14ac:dyDescent="0.25">
      <c r="H851" s="10" t="str">
        <f>IF(G851="","",VLOOKUP(G851,MEGHBELA!$A$2:$C$100,3,FALSE))</f>
        <v/>
      </c>
      <c r="I851" s="18"/>
      <c r="J851" s="22" t="str">
        <f t="shared" si="39"/>
        <v/>
      </c>
      <c r="K851" s="10" t="str">
        <f t="shared" ca="1" si="40"/>
        <v/>
      </c>
      <c r="L851" s="7" t="str">
        <f t="shared" ca="1" si="41"/>
        <v/>
      </c>
    </row>
    <row r="852" spans="8:12" x14ac:dyDescent="0.25">
      <c r="H852" s="10" t="str">
        <f>IF(G852="","",VLOOKUP(G852,MEGHBELA!$A$2:$C$100,3,FALSE))</f>
        <v/>
      </c>
      <c r="I852" s="19"/>
      <c r="J852" s="22" t="str">
        <f t="shared" si="39"/>
        <v/>
      </c>
      <c r="K852" s="10" t="str">
        <f t="shared" ca="1" si="40"/>
        <v/>
      </c>
      <c r="L852" s="7" t="str">
        <f t="shared" ca="1" si="41"/>
        <v/>
      </c>
    </row>
    <row r="853" spans="8:12" x14ac:dyDescent="0.25">
      <c r="H853" s="10" t="str">
        <f>IF(G853="","",VLOOKUP(G853,MEGHBELA!$A$2:$C$100,3,FALSE))</f>
        <v/>
      </c>
      <c r="I853" s="18"/>
      <c r="J853" s="22" t="str">
        <f t="shared" si="39"/>
        <v/>
      </c>
      <c r="K853" s="10" t="str">
        <f t="shared" ca="1" si="40"/>
        <v/>
      </c>
      <c r="L853" s="7" t="str">
        <f t="shared" ca="1" si="41"/>
        <v/>
      </c>
    </row>
    <row r="854" spans="8:12" x14ac:dyDescent="0.25">
      <c r="H854" s="10" t="str">
        <f>IF(G854="","",VLOOKUP(G854,MEGHBELA!$A$2:$C$100,3,FALSE))</f>
        <v/>
      </c>
      <c r="I854" s="19"/>
      <c r="J854" s="22" t="str">
        <f t="shared" si="39"/>
        <v/>
      </c>
      <c r="K854" s="10" t="str">
        <f t="shared" ca="1" si="40"/>
        <v/>
      </c>
      <c r="L854" s="7" t="str">
        <f t="shared" ca="1" si="41"/>
        <v/>
      </c>
    </row>
    <row r="855" spans="8:12" x14ac:dyDescent="0.25">
      <c r="H855" s="10" t="str">
        <f>IF(G855="","",VLOOKUP(G855,MEGHBELA!$A$2:$C$100,3,FALSE))</f>
        <v/>
      </c>
      <c r="I855" s="18"/>
      <c r="J855" s="22" t="str">
        <f t="shared" si="39"/>
        <v/>
      </c>
      <c r="K855" s="10" t="str">
        <f t="shared" ca="1" si="40"/>
        <v/>
      </c>
      <c r="L855" s="7" t="str">
        <f t="shared" ca="1" si="41"/>
        <v/>
      </c>
    </row>
    <row r="856" spans="8:12" x14ac:dyDescent="0.25">
      <c r="H856" s="10" t="str">
        <f>IF(G856="","",VLOOKUP(G856,MEGHBELA!$A$2:$C$100,3,FALSE))</f>
        <v/>
      </c>
      <c r="I856" s="19"/>
      <c r="J856" s="22" t="str">
        <f t="shared" si="39"/>
        <v/>
      </c>
      <c r="K856" s="10" t="str">
        <f t="shared" ca="1" si="40"/>
        <v/>
      </c>
      <c r="L856" s="7" t="str">
        <f t="shared" ca="1" si="41"/>
        <v/>
      </c>
    </row>
    <row r="857" spans="8:12" x14ac:dyDescent="0.25">
      <c r="H857" s="10" t="str">
        <f>IF(G857="","",VLOOKUP(G857,MEGHBELA!$A$2:$C$100,3,FALSE))</f>
        <v/>
      </c>
      <c r="I857" s="18"/>
      <c r="J857" s="22" t="str">
        <f t="shared" si="39"/>
        <v/>
      </c>
      <c r="K857" s="10" t="str">
        <f t="shared" ca="1" si="40"/>
        <v/>
      </c>
      <c r="L857" s="7" t="str">
        <f t="shared" ca="1" si="41"/>
        <v/>
      </c>
    </row>
    <row r="858" spans="8:12" x14ac:dyDescent="0.25">
      <c r="H858" s="10" t="str">
        <f>IF(G858="","",VLOOKUP(G858,MEGHBELA!$A$2:$C$100,3,FALSE))</f>
        <v/>
      </c>
      <c r="I858" s="19"/>
      <c r="J858" s="22" t="str">
        <f t="shared" si="39"/>
        <v/>
      </c>
      <c r="K858" s="10" t="str">
        <f t="shared" ca="1" si="40"/>
        <v/>
      </c>
      <c r="L858" s="7" t="str">
        <f t="shared" ca="1" si="41"/>
        <v/>
      </c>
    </row>
    <row r="859" spans="8:12" x14ac:dyDescent="0.25">
      <c r="H859" s="10" t="str">
        <f>IF(G859="","",VLOOKUP(G859,MEGHBELA!$A$2:$C$100,3,FALSE))</f>
        <v/>
      </c>
      <c r="I859" s="18"/>
      <c r="J859" s="22" t="str">
        <f t="shared" si="39"/>
        <v/>
      </c>
      <c r="K859" s="10" t="str">
        <f t="shared" ca="1" si="40"/>
        <v/>
      </c>
      <c r="L859" s="7" t="str">
        <f t="shared" ca="1" si="41"/>
        <v/>
      </c>
    </row>
    <row r="860" spans="8:12" x14ac:dyDescent="0.25">
      <c r="H860" s="10" t="str">
        <f>IF(G860="","",VLOOKUP(G860,MEGHBELA!$A$2:$C$100,3,FALSE))</f>
        <v/>
      </c>
      <c r="I860" s="19"/>
      <c r="J860" s="22" t="str">
        <f t="shared" si="39"/>
        <v/>
      </c>
      <c r="K860" s="10" t="str">
        <f t="shared" ca="1" si="40"/>
        <v/>
      </c>
      <c r="L860" s="7" t="str">
        <f t="shared" ca="1" si="41"/>
        <v/>
      </c>
    </row>
    <row r="861" spans="8:12" x14ac:dyDescent="0.25">
      <c r="H861" s="10" t="str">
        <f>IF(G861="","",VLOOKUP(G861,MEGHBELA!$A$2:$C$100,3,FALSE))</f>
        <v/>
      </c>
      <c r="I861" s="18"/>
      <c r="J861" s="22" t="str">
        <f t="shared" si="39"/>
        <v/>
      </c>
      <c r="K861" s="10" t="str">
        <f t="shared" ca="1" si="40"/>
        <v/>
      </c>
      <c r="L861" s="7" t="str">
        <f t="shared" ca="1" si="41"/>
        <v/>
      </c>
    </row>
    <row r="862" spans="8:12" x14ac:dyDescent="0.25">
      <c r="H862" s="10" t="str">
        <f>IF(G862="","",VLOOKUP(G862,MEGHBELA!$A$2:$C$100,3,FALSE))</f>
        <v/>
      </c>
      <c r="I862" s="19"/>
      <c r="J862" s="22" t="str">
        <f t="shared" si="39"/>
        <v/>
      </c>
      <c r="K862" s="10" t="str">
        <f t="shared" ca="1" si="40"/>
        <v/>
      </c>
      <c r="L862" s="7" t="str">
        <f t="shared" ca="1" si="41"/>
        <v/>
      </c>
    </row>
    <row r="863" spans="8:12" x14ac:dyDescent="0.25">
      <c r="H863" s="10" t="str">
        <f>IF(G863="","",VLOOKUP(G863,MEGHBELA!$A$2:$C$100,3,FALSE))</f>
        <v/>
      </c>
      <c r="I863" s="18"/>
      <c r="J863" s="22" t="str">
        <f t="shared" si="39"/>
        <v/>
      </c>
      <c r="K863" s="10" t="str">
        <f t="shared" ca="1" si="40"/>
        <v/>
      </c>
      <c r="L863" s="7" t="str">
        <f t="shared" ca="1" si="41"/>
        <v/>
      </c>
    </row>
    <row r="864" spans="8:12" x14ac:dyDescent="0.25">
      <c r="H864" s="10" t="str">
        <f>IF(G864="","",VLOOKUP(G864,MEGHBELA!$A$2:$C$100,3,FALSE))</f>
        <v/>
      </c>
      <c r="I864" s="19"/>
      <c r="J864" s="22" t="str">
        <f t="shared" si="39"/>
        <v/>
      </c>
      <c r="K864" s="10" t="str">
        <f t="shared" ca="1" si="40"/>
        <v/>
      </c>
      <c r="L864" s="7" t="str">
        <f t="shared" ca="1" si="41"/>
        <v/>
      </c>
    </row>
    <row r="865" spans="8:12" x14ac:dyDescent="0.25">
      <c r="H865" s="10" t="str">
        <f>IF(G865="","",VLOOKUP(G865,MEGHBELA!$A$2:$C$100,3,FALSE))</f>
        <v/>
      </c>
      <c r="I865" s="18"/>
      <c r="J865" s="22" t="str">
        <f t="shared" si="39"/>
        <v/>
      </c>
      <c r="K865" s="10" t="str">
        <f t="shared" ca="1" si="40"/>
        <v/>
      </c>
      <c r="L865" s="7" t="str">
        <f t="shared" ca="1" si="41"/>
        <v/>
      </c>
    </row>
    <row r="866" spans="8:12" x14ac:dyDescent="0.25">
      <c r="H866" s="10" t="str">
        <f>IF(G866="","",VLOOKUP(G866,MEGHBELA!$A$2:$C$100,3,FALSE))</f>
        <v/>
      </c>
      <c r="I866" s="19"/>
      <c r="J866" s="22" t="str">
        <f t="shared" si="39"/>
        <v/>
      </c>
      <c r="K866" s="10" t="str">
        <f t="shared" ca="1" si="40"/>
        <v/>
      </c>
      <c r="L866" s="7" t="str">
        <f t="shared" ca="1" si="41"/>
        <v/>
      </c>
    </row>
    <row r="867" spans="8:12" x14ac:dyDescent="0.25">
      <c r="H867" s="10" t="str">
        <f>IF(G867="","",VLOOKUP(G867,MEGHBELA!$A$2:$C$100,3,FALSE))</f>
        <v/>
      </c>
      <c r="I867" s="18"/>
      <c r="J867" s="22" t="str">
        <f t="shared" si="39"/>
        <v/>
      </c>
      <c r="K867" s="10" t="str">
        <f t="shared" ca="1" si="40"/>
        <v/>
      </c>
      <c r="L867" s="7" t="str">
        <f t="shared" ca="1" si="41"/>
        <v/>
      </c>
    </row>
    <row r="868" spans="8:12" x14ac:dyDescent="0.25">
      <c r="H868" s="10" t="str">
        <f>IF(G868="","",VLOOKUP(G868,MEGHBELA!$A$2:$C$100,3,FALSE))</f>
        <v/>
      </c>
      <c r="I868" s="19"/>
      <c r="J868" s="22" t="str">
        <f t="shared" si="39"/>
        <v/>
      </c>
      <c r="K868" s="10" t="str">
        <f t="shared" ca="1" si="40"/>
        <v/>
      </c>
      <c r="L868" s="7" t="str">
        <f t="shared" ca="1" si="41"/>
        <v/>
      </c>
    </row>
    <row r="869" spans="8:12" x14ac:dyDescent="0.25">
      <c r="H869" s="10" t="str">
        <f>IF(G869="","",VLOOKUP(G869,MEGHBELA!$A$2:$C$100,3,FALSE))</f>
        <v/>
      </c>
      <c r="I869" s="18"/>
      <c r="J869" s="22" t="str">
        <f t="shared" si="39"/>
        <v/>
      </c>
      <c r="K869" s="10" t="str">
        <f t="shared" ca="1" si="40"/>
        <v/>
      </c>
      <c r="L869" s="7" t="str">
        <f t="shared" ca="1" si="41"/>
        <v/>
      </c>
    </row>
    <row r="870" spans="8:12" x14ac:dyDescent="0.25">
      <c r="H870" s="10" t="str">
        <f>IF(G870="","",VLOOKUP(G870,MEGHBELA!$A$2:$C$100,3,FALSE))</f>
        <v/>
      </c>
      <c r="I870" s="19"/>
      <c r="J870" s="22" t="str">
        <f t="shared" si="39"/>
        <v/>
      </c>
      <c r="K870" s="10" t="str">
        <f t="shared" ca="1" si="40"/>
        <v/>
      </c>
      <c r="L870" s="7" t="str">
        <f t="shared" ca="1" si="41"/>
        <v/>
      </c>
    </row>
    <row r="871" spans="8:12" x14ac:dyDescent="0.25">
      <c r="H871" s="10" t="str">
        <f>IF(G871="","",VLOOKUP(G871,MEGHBELA!$A$2:$C$100,3,FALSE))</f>
        <v/>
      </c>
      <c r="I871" s="18"/>
      <c r="J871" s="22" t="str">
        <f t="shared" si="39"/>
        <v/>
      </c>
      <c r="K871" s="10" t="str">
        <f t="shared" ca="1" si="40"/>
        <v/>
      </c>
      <c r="L871" s="7" t="str">
        <f t="shared" ca="1" si="41"/>
        <v/>
      </c>
    </row>
    <row r="872" spans="8:12" x14ac:dyDescent="0.25">
      <c r="H872" s="10" t="str">
        <f>IF(G872="","",VLOOKUP(G872,MEGHBELA!$A$2:$C$100,3,FALSE))</f>
        <v/>
      </c>
      <c r="I872" s="19"/>
      <c r="J872" s="22" t="str">
        <f t="shared" si="39"/>
        <v/>
      </c>
      <c r="K872" s="10" t="str">
        <f t="shared" ca="1" si="40"/>
        <v/>
      </c>
      <c r="L872" s="7" t="str">
        <f t="shared" ca="1" si="41"/>
        <v/>
      </c>
    </row>
    <row r="873" spans="8:12" x14ac:dyDescent="0.25">
      <c r="H873" s="10" t="str">
        <f>IF(G873="","",VLOOKUP(G873,MEGHBELA!$A$2:$C$100,3,FALSE))</f>
        <v/>
      </c>
      <c r="I873" s="18"/>
      <c r="J873" s="22" t="str">
        <f t="shared" si="39"/>
        <v/>
      </c>
      <c r="K873" s="10" t="str">
        <f t="shared" ca="1" si="40"/>
        <v/>
      </c>
      <c r="L873" s="7" t="str">
        <f t="shared" ca="1" si="41"/>
        <v/>
      </c>
    </row>
    <row r="874" spans="8:12" x14ac:dyDescent="0.25">
      <c r="H874" s="10" t="str">
        <f>IF(G874="","",VLOOKUP(G874,MEGHBELA!$A$2:$C$100,3,FALSE))</f>
        <v/>
      </c>
      <c r="I874" s="19"/>
      <c r="J874" s="22" t="str">
        <f t="shared" si="39"/>
        <v/>
      </c>
      <c r="K874" s="10" t="str">
        <f t="shared" ca="1" si="40"/>
        <v/>
      </c>
      <c r="L874" s="7" t="str">
        <f t="shared" ca="1" si="41"/>
        <v/>
      </c>
    </row>
    <row r="875" spans="8:12" x14ac:dyDescent="0.25">
      <c r="H875" s="10" t="str">
        <f>IF(G875="","",VLOOKUP(G875,MEGHBELA!$A$2:$C$100,3,FALSE))</f>
        <v/>
      </c>
      <c r="I875" s="18"/>
      <c r="J875" s="22" t="str">
        <f t="shared" si="39"/>
        <v/>
      </c>
      <c r="K875" s="10" t="str">
        <f t="shared" ca="1" si="40"/>
        <v/>
      </c>
      <c r="L875" s="7" t="str">
        <f t="shared" ca="1" si="41"/>
        <v/>
      </c>
    </row>
    <row r="876" spans="8:12" x14ac:dyDescent="0.25">
      <c r="H876" s="10" t="str">
        <f>IF(G876="","",VLOOKUP(G876,MEGHBELA!$A$2:$C$100,3,FALSE))</f>
        <v/>
      </c>
      <c r="I876" s="19"/>
      <c r="J876" s="22" t="str">
        <f t="shared" si="39"/>
        <v/>
      </c>
      <c r="K876" s="10" t="str">
        <f t="shared" ca="1" si="40"/>
        <v/>
      </c>
      <c r="L876" s="7" t="str">
        <f t="shared" ca="1" si="41"/>
        <v/>
      </c>
    </row>
    <row r="877" spans="8:12" x14ac:dyDescent="0.25">
      <c r="H877" s="10" t="str">
        <f>IF(G877="","",VLOOKUP(G877,MEGHBELA!$A$2:$C$100,3,FALSE))</f>
        <v/>
      </c>
      <c r="I877" s="18"/>
      <c r="J877" s="22" t="str">
        <f t="shared" si="39"/>
        <v/>
      </c>
      <c r="K877" s="10" t="str">
        <f t="shared" ca="1" si="40"/>
        <v/>
      </c>
      <c r="L877" s="7" t="str">
        <f t="shared" ca="1" si="41"/>
        <v/>
      </c>
    </row>
    <row r="878" spans="8:12" x14ac:dyDescent="0.25">
      <c r="H878" s="10" t="str">
        <f>IF(G878="","",VLOOKUP(G878,MEGHBELA!$A$2:$C$100,3,FALSE))</f>
        <v/>
      </c>
      <c r="I878" s="19"/>
      <c r="J878" s="22" t="str">
        <f t="shared" si="39"/>
        <v/>
      </c>
      <c r="K878" s="10" t="str">
        <f t="shared" ca="1" si="40"/>
        <v/>
      </c>
      <c r="L878" s="7" t="str">
        <f t="shared" ca="1" si="41"/>
        <v/>
      </c>
    </row>
    <row r="879" spans="8:12" x14ac:dyDescent="0.25">
      <c r="H879" s="10" t="str">
        <f>IF(G879="","",VLOOKUP(G879,MEGHBELA!$A$2:$C$100,3,FALSE))</f>
        <v/>
      </c>
      <c r="I879" s="18"/>
      <c r="J879" s="22" t="str">
        <f t="shared" si="39"/>
        <v/>
      </c>
      <c r="K879" s="10" t="str">
        <f t="shared" ca="1" si="40"/>
        <v/>
      </c>
      <c r="L879" s="7" t="str">
        <f t="shared" ca="1" si="41"/>
        <v/>
      </c>
    </row>
    <row r="880" spans="8:12" x14ac:dyDescent="0.25">
      <c r="H880" s="10" t="str">
        <f>IF(G880="","",VLOOKUP(G880,MEGHBELA!$A$2:$C$100,3,FALSE))</f>
        <v/>
      </c>
      <c r="I880" s="19"/>
      <c r="J880" s="22" t="str">
        <f t="shared" si="39"/>
        <v/>
      </c>
      <c r="K880" s="10" t="str">
        <f t="shared" ca="1" si="40"/>
        <v/>
      </c>
      <c r="L880" s="7" t="str">
        <f t="shared" ca="1" si="41"/>
        <v/>
      </c>
    </row>
    <row r="881" spans="8:12" x14ac:dyDescent="0.25">
      <c r="H881" s="10" t="str">
        <f>IF(G881="","",VLOOKUP(G881,MEGHBELA!$A$2:$C$100,3,FALSE))</f>
        <v/>
      </c>
      <c r="I881" s="18"/>
      <c r="J881" s="22" t="str">
        <f t="shared" si="39"/>
        <v/>
      </c>
      <c r="K881" s="10" t="str">
        <f t="shared" ca="1" si="40"/>
        <v/>
      </c>
      <c r="L881" s="7" t="str">
        <f t="shared" ca="1" si="41"/>
        <v/>
      </c>
    </row>
    <row r="882" spans="8:12" x14ac:dyDescent="0.25">
      <c r="H882" s="10" t="str">
        <f>IF(G882="","",VLOOKUP(G882,MEGHBELA!$A$2:$C$100,3,FALSE))</f>
        <v/>
      </c>
      <c r="I882" s="19"/>
      <c r="J882" s="22" t="str">
        <f t="shared" si="39"/>
        <v/>
      </c>
      <c r="K882" s="10" t="str">
        <f t="shared" ca="1" si="40"/>
        <v/>
      </c>
      <c r="L882" s="7" t="str">
        <f t="shared" ca="1" si="41"/>
        <v/>
      </c>
    </row>
    <row r="883" spans="8:12" x14ac:dyDescent="0.25">
      <c r="H883" s="10" t="str">
        <f>IF(G883="","",VLOOKUP(G883,MEGHBELA!$A$2:$C$100,3,FALSE))</f>
        <v/>
      </c>
      <c r="I883" s="18"/>
      <c r="J883" s="22" t="str">
        <f t="shared" si="39"/>
        <v/>
      </c>
      <c r="K883" s="10" t="str">
        <f t="shared" ca="1" si="40"/>
        <v/>
      </c>
      <c r="L883" s="7" t="str">
        <f t="shared" ca="1" si="41"/>
        <v/>
      </c>
    </row>
    <row r="884" spans="8:12" x14ac:dyDescent="0.25">
      <c r="H884" s="10" t="str">
        <f>IF(G884="","",VLOOKUP(G884,MEGHBELA!$A$2:$C$100,3,FALSE))</f>
        <v/>
      </c>
      <c r="I884" s="19"/>
      <c r="J884" s="22" t="str">
        <f t="shared" si="39"/>
        <v/>
      </c>
      <c r="K884" s="10" t="str">
        <f t="shared" ca="1" si="40"/>
        <v/>
      </c>
      <c r="L884" s="7" t="str">
        <f t="shared" ca="1" si="41"/>
        <v/>
      </c>
    </row>
    <row r="885" spans="8:12" x14ac:dyDescent="0.25">
      <c r="H885" s="10" t="str">
        <f>IF(G885="","",VLOOKUP(G885,MEGHBELA!$A$2:$C$100,3,FALSE))</f>
        <v/>
      </c>
      <c r="I885" s="18"/>
      <c r="J885" s="22" t="str">
        <f t="shared" si="39"/>
        <v/>
      </c>
      <c r="K885" s="10" t="str">
        <f t="shared" ca="1" si="40"/>
        <v/>
      </c>
      <c r="L885" s="7" t="str">
        <f t="shared" ca="1" si="41"/>
        <v/>
      </c>
    </row>
    <row r="886" spans="8:12" x14ac:dyDescent="0.25">
      <c r="H886" s="10" t="str">
        <f>IF(G886="","",VLOOKUP(G886,MEGHBELA!$A$2:$C$100,3,FALSE))</f>
        <v/>
      </c>
      <c r="I886" s="19"/>
      <c r="J886" s="22" t="str">
        <f t="shared" si="39"/>
        <v/>
      </c>
      <c r="K886" s="10" t="str">
        <f t="shared" ca="1" si="40"/>
        <v/>
      </c>
      <c r="L886" s="7" t="str">
        <f t="shared" ca="1" si="41"/>
        <v/>
      </c>
    </row>
    <row r="887" spans="8:12" x14ac:dyDescent="0.25">
      <c r="H887" s="10" t="str">
        <f>IF(G887="","",VLOOKUP(G887,MEGHBELA!$A$2:$C$100,3,FALSE))</f>
        <v/>
      </c>
      <c r="I887" s="18"/>
      <c r="J887" s="22" t="str">
        <f t="shared" si="39"/>
        <v/>
      </c>
      <c r="K887" s="10" t="str">
        <f t="shared" ca="1" si="40"/>
        <v/>
      </c>
      <c r="L887" s="7" t="str">
        <f t="shared" ca="1" si="41"/>
        <v/>
      </c>
    </row>
    <row r="888" spans="8:12" x14ac:dyDescent="0.25">
      <c r="H888" s="10" t="str">
        <f>IF(G888="","",VLOOKUP(G888,MEGHBELA!$A$2:$C$100,3,FALSE))</f>
        <v/>
      </c>
      <c r="I888" s="19"/>
      <c r="J888" s="22" t="str">
        <f t="shared" si="39"/>
        <v/>
      </c>
      <c r="K888" s="10" t="str">
        <f t="shared" ca="1" si="40"/>
        <v/>
      </c>
      <c r="L888" s="7" t="str">
        <f t="shared" ca="1" si="41"/>
        <v/>
      </c>
    </row>
    <row r="889" spans="8:12" x14ac:dyDescent="0.25">
      <c r="H889" s="10" t="str">
        <f>IF(G889="","",VLOOKUP(G889,MEGHBELA!$A$2:$C$100,3,FALSE))</f>
        <v/>
      </c>
      <c r="I889" s="18"/>
      <c r="J889" s="22" t="str">
        <f t="shared" si="39"/>
        <v/>
      </c>
      <c r="K889" s="10" t="str">
        <f t="shared" ca="1" si="40"/>
        <v/>
      </c>
      <c r="L889" s="7" t="str">
        <f t="shared" ca="1" si="41"/>
        <v/>
      </c>
    </row>
    <row r="890" spans="8:12" x14ac:dyDescent="0.25">
      <c r="H890" s="10" t="str">
        <f>IF(G890="","",VLOOKUP(G890,MEGHBELA!$A$2:$C$100,3,FALSE))</f>
        <v/>
      </c>
      <c r="I890" s="19"/>
      <c r="J890" s="22" t="str">
        <f t="shared" si="39"/>
        <v/>
      </c>
      <c r="K890" s="10" t="str">
        <f t="shared" ca="1" si="40"/>
        <v/>
      </c>
      <c r="L890" s="7" t="str">
        <f t="shared" ca="1" si="41"/>
        <v/>
      </c>
    </row>
    <row r="891" spans="8:12" x14ac:dyDescent="0.25">
      <c r="H891" s="10" t="str">
        <f>IF(G891="","",VLOOKUP(G891,MEGHBELA!$A$2:$C$100,3,FALSE))</f>
        <v/>
      </c>
      <c r="I891" s="18"/>
      <c r="J891" s="22" t="str">
        <f t="shared" si="39"/>
        <v/>
      </c>
      <c r="K891" s="10" t="str">
        <f t="shared" ca="1" si="40"/>
        <v/>
      </c>
      <c r="L891" s="7" t="str">
        <f t="shared" ca="1" si="41"/>
        <v/>
      </c>
    </row>
    <row r="892" spans="8:12" x14ac:dyDescent="0.25">
      <c r="H892" s="10" t="str">
        <f>IF(G892="","",VLOOKUP(G892,MEGHBELA!$A$2:$C$100,3,FALSE))</f>
        <v/>
      </c>
      <c r="I892" s="19"/>
      <c r="J892" s="22" t="str">
        <f t="shared" si="39"/>
        <v/>
      </c>
      <c r="K892" s="10" t="str">
        <f t="shared" ca="1" si="40"/>
        <v/>
      </c>
      <c r="L892" s="7" t="str">
        <f t="shared" ca="1" si="41"/>
        <v/>
      </c>
    </row>
    <row r="893" spans="8:12" x14ac:dyDescent="0.25">
      <c r="H893" s="10" t="str">
        <f>IF(G893="","",VLOOKUP(G893,MEGHBELA!$A$2:$C$100,3,FALSE))</f>
        <v/>
      </c>
      <c r="I893" s="18"/>
      <c r="J893" s="22" t="str">
        <f t="shared" si="39"/>
        <v/>
      </c>
      <c r="K893" s="10" t="str">
        <f t="shared" ca="1" si="40"/>
        <v/>
      </c>
      <c r="L893" s="7" t="str">
        <f t="shared" ca="1" si="41"/>
        <v/>
      </c>
    </row>
    <row r="894" spans="8:12" x14ac:dyDescent="0.25">
      <c r="H894" s="10" t="str">
        <f>IF(G894="","",VLOOKUP(G894,MEGHBELA!$A$2:$C$100,3,FALSE))</f>
        <v/>
      </c>
      <c r="I894" s="19"/>
      <c r="J894" s="22" t="str">
        <f t="shared" si="39"/>
        <v/>
      </c>
      <c r="K894" s="10" t="str">
        <f t="shared" ca="1" si="40"/>
        <v/>
      </c>
      <c r="L894" s="7" t="str">
        <f t="shared" ca="1" si="41"/>
        <v/>
      </c>
    </row>
    <row r="895" spans="8:12" x14ac:dyDescent="0.25">
      <c r="H895" s="10" t="str">
        <f>IF(G895="","",VLOOKUP(G895,MEGHBELA!$A$2:$C$100,3,FALSE))</f>
        <v/>
      </c>
      <c r="I895" s="18"/>
      <c r="J895" s="22" t="str">
        <f t="shared" si="39"/>
        <v/>
      </c>
      <c r="K895" s="10" t="str">
        <f t="shared" ca="1" si="40"/>
        <v/>
      </c>
      <c r="L895" s="7" t="str">
        <f t="shared" ca="1" si="41"/>
        <v/>
      </c>
    </row>
    <row r="896" spans="8:12" x14ac:dyDescent="0.25">
      <c r="H896" s="10" t="str">
        <f>IF(G896="","",VLOOKUP(G896,MEGHBELA!$A$2:$C$100,3,FALSE))</f>
        <v/>
      </c>
      <c r="I896" s="19"/>
      <c r="J896" s="22" t="str">
        <f t="shared" si="39"/>
        <v/>
      </c>
      <c r="K896" s="10" t="str">
        <f t="shared" ca="1" si="40"/>
        <v/>
      </c>
      <c r="L896" s="7" t="str">
        <f t="shared" ca="1" si="41"/>
        <v/>
      </c>
    </row>
    <row r="897" spans="8:12" x14ac:dyDescent="0.25">
      <c r="H897" s="10" t="str">
        <f>IF(G897="","",VLOOKUP(G897,MEGHBELA!$A$2:$C$100,3,FALSE))</f>
        <v/>
      </c>
      <c r="I897" s="18"/>
      <c r="J897" s="22" t="str">
        <f t="shared" si="39"/>
        <v/>
      </c>
      <c r="K897" s="10" t="str">
        <f t="shared" ca="1" si="40"/>
        <v/>
      </c>
      <c r="L897" s="7" t="str">
        <f t="shared" ca="1" si="41"/>
        <v/>
      </c>
    </row>
    <row r="898" spans="8:12" x14ac:dyDescent="0.25">
      <c r="H898" s="10" t="str">
        <f>IF(G898="","",VLOOKUP(G898,MEGHBELA!$A$2:$C$100,3,FALSE))</f>
        <v/>
      </c>
      <c r="I898" s="19"/>
      <c r="J898" s="22" t="str">
        <f t="shared" ref="J898:J961" si="42">IF(OR(I898="",H898=""),"",I898+H898)</f>
        <v/>
      </c>
      <c r="K898" s="10" t="str">
        <f t="shared" ref="K898:K961" ca="1" si="43">IF(J898="","",J898-TODAY())</f>
        <v/>
      </c>
      <c r="L898" s="7" t="str">
        <f t="shared" ref="L898:L961" ca="1" si="44">IF(K898="","",
IF(K898&lt;0,
HYPERLINK("https://web.whatsapp.com/send?phone=91"&amp;F898&amp;"&amp;text=Dear%20Customer,%20your%20internet%20plan%20expired%20on%20"&amp;TEXT(J898,"dd-mm-yyyy")&amp;".%20Your%20service%20is%20now%20stopped.%20Please%20renew%20immediately%20to%20restore%20service.%0A-----TRUESPEED%20BROADBAND","Send Stop Message"),
IF(K898&lt;=3,
HYPERLINK("https://web.whatsapp.com/send?phone=91"&amp;F898&amp;"&amp;text=Dear%20Customer,%20your%20internet%20plan%20will%20expire%20in%20"&amp;K898&amp;"%20days.%20Please%20renew%20before%20"&amp;TEXT(J898,"dd-mm-yyyy")&amp;".%0A-----TRUESPEED%20BROADBAND","Send Renewal Alert"),
"")))</f>
        <v/>
      </c>
    </row>
    <row r="899" spans="8:12" x14ac:dyDescent="0.25">
      <c r="H899" s="10" t="str">
        <f>IF(G899="","",VLOOKUP(G899,MEGHBELA!$A$2:$C$100,3,FALSE))</f>
        <v/>
      </c>
      <c r="I899" s="18"/>
      <c r="J899" s="22" t="str">
        <f t="shared" si="42"/>
        <v/>
      </c>
      <c r="K899" s="10" t="str">
        <f t="shared" ca="1" si="43"/>
        <v/>
      </c>
      <c r="L899" s="7" t="str">
        <f t="shared" ca="1" si="44"/>
        <v/>
      </c>
    </row>
    <row r="900" spans="8:12" x14ac:dyDescent="0.25">
      <c r="H900" s="10" t="str">
        <f>IF(G900="","",VLOOKUP(G900,MEGHBELA!$A$2:$C$100,3,FALSE))</f>
        <v/>
      </c>
      <c r="I900" s="19"/>
      <c r="J900" s="22" t="str">
        <f t="shared" si="42"/>
        <v/>
      </c>
      <c r="K900" s="10" t="str">
        <f t="shared" ca="1" si="43"/>
        <v/>
      </c>
      <c r="L900" s="7" t="str">
        <f t="shared" ca="1" si="44"/>
        <v/>
      </c>
    </row>
    <row r="901" spans="8:12" x14ac:dyDescent="0.25">
      <c r="H901" s="10" t="str">
        <f>IF(G901="","",VLOOKUP(G901,MEGHBELA!$A$2:$C$100,3,FALSE))</f>
        <v/>
      </c>
      <c r="I901" s="18"/>
      <c r="J901" s="22" t="str">
        <f t="shared" si="42"/>
        <v/>
      </c>
      <c r="K901" s="10" t="str">
        <f t="shared" ca="1" si="43"/>
        <v/>
      </c>
      <c r="L901" s="7" t="str">
        <f t="shared" ca="1" si="44"/>
        <v/>
      </c>
    </row>
    <row r="902" spans="8:12" x14ac:dyDescent="0.25">
      <c r="H902" s="10" t="str">
        <f>IF(G902="","",VLOOKUP(G902,MEGHBELA!$A$2:$C$100,3,FALSE))</f>
        <v/>
      </c>
      <c r="I902" s="19"/>
      <c r="J902" s="22" t="str">
        <f t="shared" si="42"/>
        <v/>
      </c>
      <c r="K902" s="10" t="str">
        <f t="shared" ca="1" si="43"/>
        <v/>
      </c>
      <c r="L902" s="7" t="str">
        <f t="shared" ca="1" si="44"/>
        <v/>
      </c>
    </row>
    <row r="903" spans="8:12" x14ac:dyDescent="0.25">
      <c r="H903" s="10" t="str">
        <f>IF(G903="","",VLOOKUP(G903,MEGHBELA!$A$2:$C$100,3,FALSE))</f>
        <v/>
      </c>
      <c r="I903" s="18"/>
      <c r="J903" s="22" t="str">
        <f t="shared" si="42"/>
        <v/>
      </c>
      <c r="K903" s="10" t="str">
        <f t="shared" ca="1" si="43"/>
        <v/>
      </c>
      <c r="L903" s="7" t="str">
        <f t="shared" ca="1" si="44"/>
        <v/>
      </c>
    </row>
    <row r="904" spans="8:12" x14ac:dyDescent="0.25">
      <c r="H904" s="10" t="str">
        <f>IF(G904="","",VLOOKUP(G904,MEGHBELA!$A$2:$C$100,3,FALSE))</f>
        <v/>
      </c>
      <c r="I904" s="19"/>
      <c r="J904" s="22" t="str">
        <f t="shared" si="42"/>
        <v/>
      </c>
      <c r="K904" s="10" t="str">
        <f t="shared" ca="1" si="43"/>
        <v/>
      </c>
      <c r="L904" s="7" t="str">
        <f t="shared" ca="1" si="44"/>
        <v/>
      </c>
    </row>
    <row r="905" spans="8:12" x14ac:dyDescent="0.25">
      <c r="H905" s="10" t="str">
        <f>IF(G905="","",VLOOKUP(G905,MEGHBELA!$A$2:$C$100,3,FALSE))</f>
        <v/>
      </c>
      <c r="I905" s="18"/>
      <c r="J905" s="22" t="str">
        <f t="shared" si="42"/>
        <v/>
      </c>
      <c r="K905" s="10" t="str">
        <f t="shared" ca="1" si="43"/>
        <v/>
      </c>
      <c r="L905" s="7" t="str">
        <f t="shared" ca="1" si="44"/>
        <v/>
      </c>
    </row>
    <row r="906" spans="8:12" x14ac:dyDescent="0.25">
      <c r="H906" s="10" t="str">
        <f>IF(G906="","",VLOOKUP(G906,MEGHBELA!$A$2:$C$100,3,FALSE))</f>
        <v/>
      </c>
      <c r="I906" s="19"/>
      <c r="J906" s="22" t="str">
        <f t="shared" si="42"/>
        <v/>
      </c>
      <c r="K906" s="10" t="str">
        <f t="shared" ca="1" si="43"/>
        <v/>
      </c>
      <c r="L906" s="7" t="str">
        <f t="shared" ca="1" si="44"/>
        <v/>
      </c>
    </row>
    <row r="907" spans="8:12" x14ac:dyDescent="0.25">
      <c r="H907" s="10" t="str">
        <f>IF(G907="","",VLOOKUP(G907,MEGHBELA!$A$2:$C$100,3,FALSE))</f>
        <v/>
      </c>
      <c r="I907" s="18"/>
      <c r="J907" s="22" t="str">
        <f t="shared" si="42"/>
        <v/>
      </c>
      <c r="K907" s="10" t="str">
        <f t="shared" ca="1" si="43"/>
        <v/>
      </c>
      <c r="L907" s="7" t="str">
        <f t="shared" ca="1" si="44"/>
        <v/>
      </c>
    </row>
    <row r="908" spans="8:12" x14ac:dyDescent="0.25">
      <c r="H908" s="10" t="str">
        <f>IF(G908="","",VLOOKUP(G908,MEGHBELA!$A$2:$C$100,3,FALSE))</f>
        <v/>
      </c>
      <c r="I908" s="19"/>
      <c r="J908" s="22" t="str">
        <f t="shared" si="42"/>
        <v/>
      </c>
      <c r="K908" s="10" t="str">
        <f t="shared" ca="1" si="43"/>
        <v/>
      </c>
      <c r="L908" s="7" t="str">
        <f t="shared" ca="1" si="44"/>
        <v/>
      </c>
    </row>
    <row r="909" spans="8:12" x14ac:dyDescent="0.25">
      <c r="H909" s="10" t="str">
        <f>IF(G909="","",VLOOKUP(G909,MEGHBELA!$A$2:$C$100,3,FALSE))</f>
        <v/>
      </c>
      <c r="I909" s="18"/>
      <c r="J909" s="22" t="str">
        <f t="shared" si="42"/>
        <v/>
      </c>
      <c r="K909" s="10" t="str">
        <f t="shared" ca="1" si="43"/>
        <v/>
      </c>
      <c r="L909" s="7" t="str">
        <f t="shared" ca="1" si="44"/>
        <v/>
      </c>
    </row>
    <row r="910" spans="8:12" x14ac:dyDescent="0.25">
      <c r="H910" s="10" t="str">
        <f>IF(G910="","",VLOOKUP(G910,MEGHBELA!$A$2:$C$100,3,FALSE))</f>
        <v/>
      </c>
      <c r="I910" s="19"/>
      <c r="J910" s="22" t="str">
        <f t="shared" si="42"/>
        <v/>
      </c>
      <c r="K910" s="10" t="str">
        <f t="shared" ca="1" si="43"/>
        <v/>
      </c>
      <c r="L910" s="7" t="str">
        <f t="shared" ca="1" si="44"/>
        <v/>
      </c>
    </row>
    <row r="911" spans="8:12" x14ac:dyDescent="0.25">
      <c r="H911" s="10" t="str">
        <f>IF(G911="","",VLOOKUP(G911,MEGHBELA!$A$2:$C$100,3,FALSE))</f>
        <v/>
      </c>
      <c r="I911" s="18"/>
      <c r="J911" s="22" t="str">
        <f t="shared" si="42"/>
        <v/>
      </c>
      <c r="K911" s="10" t="str">
        <f t="shared" ca="1" si="43"/>
        <v/>
      </c>
      <c r="L911" s="7" t="str">
        <f t="shared" ca="1" si="44"/>
        <v/>
      </c>
    </row>
    <row r="912" spans="8:12" x14ac:dyDescent="0.25">
      <c r="H912" s="10" t="str">
        <f>IF(G912="","",VLOOKUP(G912,MEGHBELA!$A$2:$C$100,3,FALSE))</f>
        <v/>
      </c>
      <c r="I912" s="19"/>
      <c r="J912" s="22" t="str">
        <f t="shared" si="42"/>
        <v/>
      </c>
      <c r="K912" s="10" t="str">
        <f t="shared" ca="1" si="43"/>
        <v/>
      </c>
      <c r="L912" s="7" t="str">
        <f t="shared" ca="1" si="44"/>
        <v/>
      </c>
    </row>
    <row r="913" spans="8:12" x14ac:dyDescent="0.25">
      <c r="H913" s="10" t="str">
        <f>IF(G913="","",VLOOKUP(G913,MEGHBELA!$A$2:$C$100,3,FALSE))</f>
        <v/>
      </c>
      <c r="I913" s="18"/>
      <c r="J913" s="22" t="str">
        <f t="shared" si="42"/>
        <v/>
      </c>
      <c r="K913" s="10" t="str">
        <f t="shared" ca="1" si="43"/>
        <v/>
      </c>
      <c r="L913" s="7" t="str">
        <f t="shared" ca="1" si="44"/>
        <v/>
      </c>
    </row>
    <row r="914" spans="8:12" x14ac:dyDescent="0.25">
      <c r="H914" s="10" t="str">
        <f>IF(G914="","",VLOOKUP(G914,MEGHBELA!$A$2:$C$100,3,FALSE))</f>
        <v/>
      </c>
      <c r="I914" s="19"/>
      <c r="J914" s="22" t="str">
        <f t="shared" si="42"/>
        <v/>
      </c>
      <c r="K914" s="10" t="str">
        <f t="shared" ca="1" si="43"/>
        <v/>
      </c>
      <c r="L914" s="7" t="str">
        <f t="shared" ca="1" si="44"/>
        <v/>
      </c>
    </row>
    <row r="915" spans="8:12" x14ac:dyDescent="0.25">
      <c r="H915" s="10" t="str">
        <f>IF(G915="","",VLOOKUP(G915,MEGHBELA!$A$2:$C$100,3,FALSE))</f>
        <v/>
      </c>
      <c r="I915" s="18"/>
      <c r="J915" s="22" t="str">
        <f t="shared" si="42"/>
        <v/>
      </c>
      <c r="K915" s="10" t="str">
        <f t="shared" ca="1" si="43"/>
        <v/>
      </c>
      <c r="L915" s="7" t="str">
        <f t="shared" ca="1" si="44"/>
        <v/>
      </c>
    </row>
    <row r="916" spans="8:12" x14ac:dyDescent="0.25">
      <c r="H916" s="10" t="str">
        <f>IF(G916="","",VLOOKUP(G916,MEGHBELA!$A$2:$C$100,3,FALSE))</f>
        <v/>
      </c>
      <c r="I916" s="19"/>
      <c r="J916" s="22" t="str">
        <f t="shared" si="42"/>
        <v/>
      </c>
      <c r="K916" s="10" t="str">
        <f t="shared" ca="1" si="43"/>
        <v/>
      </c>
      <c r="L916" s="7" t="str">
        <f t="shared" ca="1" si="44"/>
        <v/>
      </c>
    </row>
    <row r="917" spans="8:12" x14ac:dyDescent="0.25">
      <c r="H917" s="10" t="str">
        <f>IF(G917="","",VLOOKUP(G917,MEGHBELA!$A$2:$C$100,3,FALSE))</f>
        <v/>
      </c>
      <c r="I917" s="18"/>
      <c r="J917" s="22" t="str">
        <f t="shared" si="42"/>
        <v/>
      </c>
      <c r="K917" s="10" t="str">
        <f t="shared" ca="1" si="43"/>
        <v/>
      </c>
      <c r="L917" s="7" t="str">
        <f t="shared" ca="1" si="44"/>
        <v/>
      </c>
    </row>
    <row r="918" spans="8:12" x14ac:dyDescent="0.25">
      <c r="H918" s="10" t="str">
        <f>IF(G918="","",VLOOKUP(G918,MEGHBELA!$A$2:$C$100,3,FALSE))</f>
        <v/>
      </c>
      <c r="I918" s="19"/>
      <c r="J918" s="22" t="str">
        <f t="shared" si="42"/>
        <v/>
      </c>
      <c r="K918" s="10" t="str">
        <f t="shared" ca="1" si="43"/>
        <v/>
      </c>
      <c r="L918" s="7" t="str">
        <f t="shared" ca="1" si="44"/>
        <v/>
      </c>
    </row>
    <row r="919" spans="8:12" x14ac:dyDescent="0.25">
      <c r="H919" s="10" t="str">
        <f>IF(G919="","",VLOOKUP(G919,MEGHBELA!$A$2:$C$100,3,FALSE))</f>
        <v/>
      </c>
      <c r="I919" s="18"/>
      <c r="J919" s="22" t="str">
        <f t="shared" si="42"/>
        <v/>
      </c>
      <c r="K919" s="10" t="str">
        <f t="shared" ca="1" si="43"/>
        <v/>
      </c>
      <c r="L919" s="7" t="str">
        <f t="shared" ca="1" si="44"/>
        <v/>
      </c>
    </row>
    <row r="920" spans="8:12" x14ac:dyDescent="0.25">
      <c r="H920" s="10" t="str">
        <f>IF(G920="","",VLOOKUP(G920,MEGHBELA!$A$2:$C$100,3,FALSE))</f>
        <v/>
      </c>
      <c r="I920" s="19"/>
      <c r="J920" s="22" t="str">
        <f t="shared" si="42"/>
        <v/>
      </c>
      <c r="K920" s="10" t="str">
        <f t="shared" ca="1" si="43"/>
        <v/>
      </c>
      <c r="L920" s="7" t="str">
        <f t="shared" ca="1" si="44"/>
        <v/>
      </c>
    </row>
    <row r="921" spans="8:12" x14ac:dyDescent="0.25">
      <c r="H921" s="10" t="str">
        <f>IF(G921="","",VLOOKUP(G921,MEGHBELA!$A$2:$C$100,3,FALSE))</f>
        <v/>
      </c>
      <c r="I921" s="18"/>
      <c r="J921" s="22" t="str">
        <f t="shared" si="42"/>
        <v/>
      </c>
      <c r="K921" s="10" t="str">
        <f t="shared" ca="1" si="43"/>
        <v/>
      </c>
      <c r="L921" s="7" t="str">
        <f t="shared" ca="1" si="44"/>
        <v/>
      </c>
    </row>
    <row r="922" spans="8:12" x14ac:dyDescent="0.25">
      <c r="H922" s="10" t="str">
        <f>IF(G922="","",VLOOKUP(G922,MEGHBELA!$A$2:$C$100,3,FALSE))</f>
        <v/>
      </c>
      <c r="I922" s="19"/>
      <c r="J922" s="22" t="str">
        <f t="shared" si="42"/>
        <v/>
      </c>
      <c r="K922" s="10" t="str">
        <f t="shared" ca="1" si="43"/>
        <v/>
      </c>
      <c r="L922" s="7" t="str">
        <f t="shared" ca="1" si="44"/>
        <v/>
      </c>
    </row>
    <row r="923" spans="8:12" x14ac:dyDescent="0.25">
      <c r="H923" s="10" t="str">
        <f>IF(G923="","",VLOOKUP(G923,MEGHBELA!$A$2:$C$100,3,FALSE))</f>
        <v/>
      </c>
      <c r="I923" s="18"/>
      <c r="J923" s="22" t="str">
        <f t="shared" si="42"/>
        <v/>
      </c>
      <c r="K923" s="10" t="str">
        <f t="shared" ca="1" si="43"/>
        <v/>
      </c>
      <c r="L923" s="7" t="str">
        <f t="shared" ca="1" si="44"/>
        <v/>
      </c>
    </row>
    <row r="924" spans="8:12" x14ac:dyDescent="0.25">
      <c r="H924" s="10" t="str">
        <f>IF(G924="","",VLOOKUP(G924,MEGHBELA!$A$2:$C$100,3,FALSE))</f>
        <v/>
      </c>
      <c r="I924" s="19"/>
      <c r="J924" s="22" t="str">
        <f t="shared" si="42"/>
        <v/>
      </c>
      <c r="K924" s="10" t="str">
        <f t="shared" ca="1" si="43"/>
        <v/>
      </c>
      <c r="L924" s="7" t="str">
        <f t="shared" ca="1" si="44"/>
        <v/>
      </c>
    </row>
    <row r="925" spans="8:12" x14ac:dyDescent="0.25">
      <c r="H925" s="10" t="str">
        <f>IF(G925="","",VLOOKUP(G925,MEGHBELA!$A$2:$C$100,3,FALSE))</f>
        <v/>
      </c>
      <c r="I925" s="18"/>
      <c r="J925" s="22" t="str">
        <f t="shared" si="42"/>
        <v/>
      </c>
      <c r="K925" s="10" t="str">
        <f t="shared" ca="1" si="43"/>
        <v/>
      </c>
      <c r="L925" s="7" t="str">
        <f t="shared" ca="1" si="44"/>
        <v/>
      </c>
    </row>
    <row r="926" spans="8:12" x14ac:dyDescent="0.25">
      <c r="H926" s="10" t="str">
        <f>IF(G926="","",VLOOKUP(G926,MEGHBELA!$A$2:$C$100,3,FALSE))</f>
        <v/>
      </c>
      <c r="I926" s="19"/>
      <c r="J926" s="22" t="str">
        <f t="shared" si="42"/>
        <v/>
      </c>
      <c r="K926" s="10" t="str">
        <f t="shared" ca="1" si="43"/>
        <v/>
      </c>
      <c r="L926" s="7" t="str">
        <f t="shared" ca="1" si="44"/>
        <v/>
      </c>
    </row>
    <row r="927" spans="8:12" x14ac:dyDescent="0.25">
      <c r="H927" s="10" t="str">
        <f>IF(G927="","",VLOOKUP(G927,MEGHBELA!$A$2:$C$100,3,FALSE))</f>
        <v/>
      </c>
      <c r="I927" s="18"/>
      <c r="J927" s="22" t="str">
        <f t="shared" si="42"/>
        <v/>
      </c>
      <c r="K927" s="10" t="str">
        <f t="shared" ca="1" si="43"/>
        <v/>
      </c>
      <c r="L927" s="7" t="str">
        <f t="shared" ca="1" si="44"/>
        <v/>
      </c>
    </row>
    <row r="928" spans="8:12" x14ac:dyDescent="0.25">
      <c r="H928" s="10" t="str">
        <f>IF(G928="","",VLOOKUP(G928,MEGHBELA!$A$2:$C$100,3,FALSE))</f>
        <v/>
      </c>
      <c r="I928" s="19"/>
      <c r="J928" s="22" t="str">
        <f t="shared" si="42"/>
        <v/>
      </c>
      <c r="K928" s="10" t="str">
        <f t="shared" ca="1" si="43"/>
        <v/>
      </c>
      <c r="L928" s="7" t="str">
        <f t="shared" ca="1" si="44"/>
        <v/>
      </c>
    </row>
    <row r="929" spans="8:12" x14ac:dyDescent="0.25">
      <c r="H929" s="10" t="str">
        <f>IF(G929="","",VLOOKUP(G929,MEGHBELA!$A$2:$C$100,3,FALSE))</f>
        <v/>
      </c>
      <c r="I929" s="18"/>
      <c r="J929" s="22" t="str">
        <f t="shared" si="42"/>
        <v/>
      </c>
      <c r="K929" s="10" t="str">
        <f t="shared" ca="1" si="43"/>
        <v/>
      </c>
      <c r="L929" s="7" t="str">
        <f t="shared" ca="1" si="44"/>
        <v/>
      </c>
    </row>
    <row r="930" spans="8:12" x14ac:dyDescent="0.25">
      <c r="H930" s="10" t="str">
        <f>IF(G930="","",VLOOKUP(G930,MEGHBELA!$A$2:$C$100,3,FALSE))</f>
        <v/>
      </c>
      <c r="I930" s="19"/>
      <c r="J930" s="22" t="str">
        <f t="shared" si="42"/>
        <v/>
      </c>
      <c r="K930" s="10" t="str">
        <f t="shared" ca="1" si="43"/>
        <v/>
      </c>
      <c r="L930" s="7" t="str">
        <f t="shared" ca="1" si="44"/>
        <v/>
      </c>
    </row>
    <row r="931" spans="8:12" x14ac:dyDescent="0.25">
      <c r="H931" s="10" t="str">
        <f>IF(G931="","",VLOOKUP(G931,MEGHBELA!$A$2:$C$100,3,FALSE))</f>
        <v/>
      </c>
      <c r="I931" s="18"/>
      <c r="J931" s="22" t="str">
        <f t="shared" si="42"/>
        <v/>
      </c>
      <c r="K931" s="10" t="str">
        <f t="shared" ca="1" si="43"/>
        <v/>
      </c>
      <c r="L931" s="7" t="str">
        <f t="shared" ca="1" si="44"/>
        <v/>
      </c>
    </row>
    <row r="932" spans="8:12" x14ac:dyDescent="0.25">
      <c r="H932" s="10" t="str">
        <f>IF(G932="","",VLOOKUP(G932,MEGHBELA!$A$2:$C$100,3,FALSE))</f>
        <v/>
      </c>
      <c r="I932" s="19"/>
      <c r="J932" s="22" t="str">
        <f t="shared" si="42"/>
        <v/>
      </c>
      <c r="K932" s="10" t="str">
        <f t="shared" ca="1" si="43"/>
        <v/>
      </c>
      <c r="L932" s="7" t="str">
        <f t="shared" ca="1" si="44"/>
        <v/>
      </c>
    </row>
    <row r="933" spans="8:12" x14ac:dyDescent="0.25">
      <c r="H933" s="10" t="str">
        <f>IF(G933="","",VLOOKUP(G933,MEGHBELA!$A$2:$C$100,3,FALSE))</f>
        <v/>
      </c>
      <c r="I933" s="18"/>
      <c r="J933" s="22" t="str">
        <f t="shared" si="42"/>
        <v/>
      </c>
      <c r="K933" s="10" t="str">
        <f t="shared" ca="1" si="43"/>
        <v/>
      </c>
      <c r="L933" s="7" t="str">
        <f t="shared" ca="1" si="44"/>
        <v/>
      </c>
    </row>
    <row r="934" spans="8:12" x14ac:dyDescent="0.25">
      <c r="H934" s="10" t="str">
        <f>IF(G934="","",VLOOKUP(G934,MEGHBELA!$A$2:$C$100,3,FALSE))</f>
        <v/>
      </c>
      <c r="I934" s="19"/>
      <c r="J934" s="22" t="str">
        <f t="shared" si="42"/>
        <v/>
      </c>
      <c r="K934" s="10" t="str">
        <f t="shared" ca="1" si="43"/>
        <v/>
      </c>
      <c r="L934" s="7" t="str">
        <f t="shared" ca="1" si="44"/>
        <v/>
      </c>
    </row>
    <row r="935" spans="8:12" x14ac:dyDescent="0.25">
      <c r="H935" s="10" t="str">
        <f>IF(G935="","",VLOOKUP(G935,MEGHBELA!$A$2:$C$100,3,FALSE))</f>
        <v/>
      </c>
      <c r="I935" s="18"/>
      <c r="J935" s="22" t="str">
        <f t="shared" si="42"/>
        <v/>
      </c>
      <c r="K935" s="10" t="str">
        <f t="shared" ca="1" si="43"/>
        <v/>
      </c>
      <c r="L935" s="7" t="str">
        <f t="shared" ca="1" si="44"/>
        <v/>
      </c>
    </row>
    <row r="936" spans="8:12" x14ac:dyDescent="0.25">
      <c r="H936" s="10" t="str">
        <f>IF(G936="","",VLOOKUP(G936,MEGHBELA!$A$2:$C$100,3,FALSE))</f>
        <v/>
      </c>
      <c r="I936" s="19"/>
      <c r="J936" s="22" t="str">
        <f t="shared" si="42"/>
        <v/>
      </c>
      <c r="K936" s="10" t="str">
        <f t="shared" ca="1" si="43"/>
        <v/>
      </c>
      <c r="L936" s="7" t="str">
        <f t="shared" ca="1" si="44"/>
        <v/>
      </c>
    </row>
    <row r="937" spans="8:12" x14ac:dyDescent="0.25">
      <c r="H937" s="10" t="str">
        <f>IF(G937="","",VLOOKUP(G937,MEGHBELA!$A$2:$C$100,3,FALSE))</f>
        <v/>
      </c>
      <c r="I937" s="18"/>
      <c r="J937" s="22" t="str">
        <f t="shared" si="42"/>
        <v/>
      </c>
      <c r="K937" s="10" t="str">
        <f t="shared" ca="1" si="43"/>
        <v/>
      </c>
      <c r="L937" s="7" t="str">
        <f t="shared" ca="1" si="44"/>
        <v/>
      </c>
    </row>
    <row r="938" spans="8:12" x14ac:dyDescent="0.25">
      <c r="H938" s="10" t="str">
        <f>IF(G938="","",VLOOKUP(G938,MEGHBELA!$A$2:$C$100,3,FALSE))</f>
        <v/>
      </c>
      <c r="I938" s="19"/>
      <c r="J938" s="22" t="str">
        <f t="shared" si="42"/>
        <v/>
      </c>
      <c r="K938" s="10" t="str">
        <f t="shared" ca="1" si="43"/>
        <v/>
      </c>
      <c r="L938" s="7" t="str">
        <f t="shared" ca="1" si="44"/>
        <v/>
      </c>
    </row>
    <row r="939" spans="8:12" x14ac:dyDescent="0.25">
      <c r="H939" s="10" t="str">
        <f>IF(G939="","",VLOOKUP(G939,MEGHBELA!$A$2:$C$100,3,FALSE))</f>
        <v/>
      </c>
      <c r="I939" s="18"/>
      <c r="J939" s="22" t="str">
        <f t="shared" si="42"/>
        <v/>
      </c>
      <c r="K939" s="10" t="str">
        <f t="shared" ca="1" si="43"/>
        <v/>
      </c>
      <c r="L939" s="7" t="str">
        <f t="shared" ca="1" si="44"/>
        <v/>
      </c>
    </row>
    <row r="940" spans="8:12" x14ac:dyDescent="0.25">
      <c r="H940" s="10" t="str">
        <f>IF(G940="","",VLOOKUP(G940,MEGHBELA!$A$2:$C$100,3,FALSE))</f>
        <v/>
      </c>
      <c r="I940" s="19"/>
      <c r="J940" s="22" t="str">
        <f t="shared" si="42"/>
        <v/>
      </c>
      <c r="K940" s="10" t="str">
        <f t="shared" ca="1" si="43"/>
        <v/>
      </c>
      <c r="L940" s="7" t="str">
        <f t="shared" ca="1" si="44"/>
        <v/>
      </c>
    </row>
    <row r="941" spans="8:12" x14ac:dyDescent="0.25">
      <c r="H941" s="10" t="str">
        <f>IF(G941="","",VLOOKUP(G941,MEGHBELA!$A$2:$C$100,3,FALSE))</f>
        <v/>
      </c>
      <c r="I941" s="18"/>
      <c r="J941" s="22" t="str">
        <f t="shared" si="42"/>
        <v/>
      </c>
      <c r="K941" s="10" t="str">
        <f t="shared" ca="1" si="43"/>
        <v/>
      </c>
      <c r="L941" s="7" t="str">
        <f t="shared" ca="1" si="44"/>
        <v/>
      </c>
    </row>
    <row r="942" spans="8:12" x14ac:dyDescent="0.25">
      <c r="H942" s="10" t="str">
        <f>IF(G942="","",VLOOKUP(G942,MEGHBELA!$A$2:$C$100,3,FALSE))</f>
        <v/>
      </c>
      <c r="I942" s="19"/>
      <c r="J942" s="22" t="str">
        <f t="shared" si="42"/>
        <v/>
      </c>
      <c r="K942" s="10" t="str">
        <f t="shared" ca="1" si="43"/>
        <v/>
      </c>
      <c r="L942" s="7" t="str">
        <f t="shared" ca="1" si="44"/>
        <v/>
      </c>
    </row>
    <row r="943" spans="8:12" x14ac:dyDescent="0.25">
      <c r="H943" s="10" t="str">
        <f>IF(G943="","",VLOOKUP(G943,MEGHBELA!$A$2:$C$100,3,FALSE))</f>
        <v/>
      </c>
      <c r="I943" s="18"/>
      <c r="J943" s="22" t="str">
        <f t="shared" si="42"/>
        <v/>
      </c>
      <c r="K943" s="10" t="str">
        <f t="shared" ca="1" si="43"/>
        <v/>
      </c>
      <c r="L943" s="7" t="str">
        <f t="shared" ca="1" si="44"/>
        <v/>
      </c>
    </row>
    <row r="944" spans="8:12" x14ac:dyDescent="0.25">
      <c r="H944" s="10" t="str">
        <f>IF(G944="","",VLOOKUP(G944,MEGHBELA!$A$2:$C$100,3,FALSE))</f>
        <v/>
      </c>
      <c r="I944" s="19"/>
      <c r="J944" s="22" t="str">
        <f t="shared" si="42"/>
        <v/>
      </c>
      <c r="K944" s="10" t="str">
        <f t="shared" ca="1" si="43"/>
        <v/>
      </c>
      <c r="L944" s="7" t="str">
        <f t="shared" ca="1" si="44"/>
        <v/>
      </c>
    </row>
    <row r="945" spans="8:12" x14ac:dyDescent="0.25">
      <c r="H945" s="10" t="str">
        <f>IF(G945="","",VLOOKUP(G945,MEGHBELA!$A$2:$C$100,3,FALSE))</f>
        <v/>
      </c>
      <c r="I945" s="18"/>
      <c r="J945" s="22" t="str">
        <f t="shared" si="42"/>
        <v/>
      </c>
      <c r="K945" s="10" t="str">
        <f t="shared" ca="1" si="43"/>
        <v/>
      </c>
      <c r="L945" s="7" t="str">
        <f t="shared" ca="1" si="44"/>
        <v/>
      </c>
    </row>
    <row r="946" spans="8:12" x14ac:dyDescent="0.25">
      <c r="H946" s="10" t="str">
        <f>IF(G946="","",VLOOKUP(G946,MEGHBELA!$A$2:$C$100,3,FALSE))</f>
        <v/>
      </c>
      <c r="I946" s="19"/>
      <c r="J946" s="22" t="str">
        <f t="shared" si="42"/>
        <v/>
      </c>
      <c r="K946" s="10" t="str">
        <f t="shared" ca="1" si="43"/>
        <v/>
      </c>
      <c r="L946" s="7" t="str">
        <f t="shared" ca="1" si="44"/>
        <v/>
      </c>
    </row>
    <row r="947" spans="8:12" x14ac:dyDescent="0.25">
      <c r="H947" s="10" t="str">
        <f>IF(G947="","",VLOOKUP(G947,MEGHBELA!$A$2:$C$100,3,FALSE))</f>
        <v/>
      </c>
      <c r="I947" s="18"/>
      <c r="J947" s="22" t="str">
        <f t="shared" si="42"/>
        <v/>
      </c>
      <c r="K947" s="10" t="str">
        <f t="shared" ca="1" si="43"/>
        <v/>
      </c>
      <c r="L947" s="7" t="str">
        <f t="shared" ca="1" si="44"/>
        <v/>
      </c>
    </row>
    <row r="948" spans="8:12" x14ac:dyDescent="0.25">
      <c r="H948" s="10" t="str">
        <f>IF(G948="","",VLOOKUP(G948,MEGHBELA!$A$2:$C$100,3,FALSE))</f>
        <v/>
      </c>
      <c r="I948" s="19"/>
      <c r="J948" s="22" t="str">
        <f t="shared" si="42"/>
        <v/>
      </c>
      <c r="K948" s="10" t="str">
        <f t="shared" ca="1" si="43"/>
        <v/>
      </c>
      <c r="L948" s="7" t="str">
        <f t="shared" ca="1" si="44"/>
        <v/>
      </c>
    </row>
    <row r="949" spans="8:12" x14ac:dyDescent="0.25">
      <c r="H949" s="10" t="str">
        <f>IF(G949="","",VLOOKUP(G949,MEGHBELA!$A$2:$C$100,3,FALSE))</f>
        <v/>
      </c>
      <c r="I949" s="18"/>
      <c r="J949" s="22" t="str">
        <f t="shared" si="42"/>
        <v/>
      </c>
      <c r="K949" s="10" t="str">
        <f t="shared" ca="1" si="43"/>
        <v/>
      </c>
      <c r="L949" s="7" t="str">
        <f t="shared" ca="1" si="44"/>
        <v/>
      </c>
    </row>
    <row r="950" spans="8:12" x14ac:dyDescent="0.25">
      <c r="H950" s="10" t="str">
        <f>IF(G950="","",VLOOKUP(G950,MEGHBELA!$A$2:$C$100,3,FALSE))</f>
        <v/>
      </c>
      <c r="I950" s="19"/>
      <c r="J950" s="22" t="str">
        <f t="shared" si="42"/>
        <v/>
      </c>
      <c r="K950" s="10" t="str">
        <f t="shared" ca="1" si="43"/>
        <v/>
      </c>
      <c r="L950" s="7" t="str">
        <f t="shared" ca="1" si="44"/>
        <v/>
      </c>
    </row>
    <row r="951" spans="8:12" x14ac:dyDescent="0.25">
      <c r="H951" s="10" t="str">
        <f>IF(G951="","",VLOOKUP(G951,MEGHBELA!$A$2:$C$100,3,FALSE))</f>
        <v/>
      </c>
      <c r="I951" s="18"/>
      <c r="J951" s="22" t="str">
        <f t="shared" si="42"/>
        <v/>
      </c>
      <c r="K951" s="10" t="str">
        <f t="shared" ca="1" si="43"/>
        <v/>
      </c>
      <c r="L951" s="7" t="str">
        <f t="shared" ca="1" si="44"/>
        <v/>
      </c>
    </row>
    <row r="952" spans="8:12" x14ac:dyDescent="0.25">
      <c r="H952" s="10" t="str">
        <f>IF(G952="","",VLOOKUP(G952,MEGHBELA!$A$2:$C$100,3,FALSE))</f>
        <v/>
      </c>
      <c r="I952" s="19"/>
      <c r="J952" s="22" t="str">
        <f t="shared" si="42"/>
        <v/>
      </c>
      <c r="K952" s="10" t="str">
        <f t="shared" ca="1" si="43"/>
        <v/>
      </c>
      <c r="L952" s="7" t="str">
        <f t="shared" ca="1" si="44"/>
        <v/>
      </c>
    </row>
    <row r="953" spans="8:12" x14ac:dyDescent="0.25">
      <c r="H953" s="10" t="str">
        <f>IF(G953="","",VLOOKUP(G953,MEGHBELA!$A$2:$C$100,3,FALSE))</f>
        <v/>
      </c>
      <c r="I953" s="18"/>
      <c r="J953" s="22" t="str">
        <f t="shared" si="42"/>
        <v/>
      </c>
      <c r="K953" s="10" t="str">
        <f t="shared" ca="1" si="43"/>
        <v/>
      </c>
      <c r="L953" s="7" t="str">
        <f t="shared" ca="1" si="44"/>
        <v/>
      </c>
    </row>
    <row r="954" spans="8:12" x14ac:dyDescent="0.25">
      <c r="H954" s="10" t="str">
        <f>IF(G954="","",VLOOKUP(G954,MEGHBELA!$A$2:$C$100,3,FALSE))</f>
        <v/>
      </c>
      <c r="I954" s="19"/>
      <c r="J954" s="22" t="str">
        <f t="shared" si="42"/>
        <v/>
      </c>
      <c r="K954" s="10" t="str">
        <f t="shared" ca="1" si="43"/>
        <v/>
      </c>
      <c r="L954" s="7" t="str">
        <f t="shared" ca="1" si="44"/>
        <v/>
      </c>
    </row>
    <row r="955" spans="8:12" x14ac:dyDescent="0.25">
      <c r="H955" s="10" t="str">
        <f>IF(G955="","",VLOOKUP(G955,MEGHBELA!$A$2:$C$100,3,FALSE))</f>
        <v/>
      </c>
      <c r="I955" s="18"/>
      <c r="J955" s="22" t="str">
        <f t="shared" si="42"/>
        <v/>
      </c>
      <c r="K955" s="10" t="str">
        <f t="shared" ca="1" si="43"/>
        <v/>
      </c>
      <c r="L955" s="7" t="str">
        <f t="shared" ca="1" si="44"/>
        <v/>
      </c>
    </row>
    <row r="956" spans="8:12" x14ac:dyDescent="0.25">
      <c r="H956" s="10" t="str">
        <f>IF(G956="","",VLOOKUP(G956,MEGHBELA!$A$2:$C$100,3,FALSE))</f>
        <v/>
      </c>
      <c r="I956" s="19"/>
      <c r="J956" s="22" t="str">
        <f t="shared" si="42"/>
        <v/>
      </c>
      <c r="K956" s="10" t="str">
        <f t="shared" ca="1" si="43"/>
        <v/>
      </c>
      <c r="L956" s="7" t="str">
        <f t="shared" ca="1" si="44"/>
        <v/>
      </c>
    </row>
    <row r="957" spans="8:12" x14ac:dyDescent="0.25">
      <c r="H957" s="10" t="str">
        <f>IF(G957="","",VLOOKUP(G957,MEGHBELA!$A$2:$C$100,3,FALSE))</f>
        <v/>
      </c>
      <c r="I957" s="18"/>
      <c r="J957" s="22" t="str">
        <f t="shared" si="42"/>
        <v/>
      </c>
      <c r="K957" s="10" t="str">
        <f t="shared" ca="1" si="43"/>
        <v/>
      </c>
      <c r="L957" s="7" t="str">
        <f t="shared" ca="1" si="44"/>
        <v/>
      </c>
    </row>
    <row r="958" spans="8:12" x14ac:dyDescent="0.25">
      <c r="H958" s="10" t="str">
        <f>IF(G958="","",VLOOKUP(G958,MEGHBELA!$A$2:$C$100,3,FALSE))</f>
        <v/>
      </c>
      <c r="I958" s="19"/>
      <c r="J958" s="22" t="str">
        <f t="shared" si="42"/>
        <v/>
      </c>
      <c r="K958" s="10" t="str">
        <f t="shared" ca="1" si="43"/>
        <v/>
      </c>
      <c r="L958" s="7" t="str">
        <f t="shared" ca="1" si="44"/>
        <v/>
      </c>
    </row>
    <row r="959" spans="8:12" x14ac:dyDescent="0.25">
      <c r="H959" s="10" t="str">
        <f>IF(G959="","",VLOOKUP(G959,MEGHBELA!$A$2:$C$100,3,FALSE))</f>
        <v/>
      </c>
      <c r="I959" s="18"/>
      <c r="J959" s="22" t="str">
        <f t="shared" si="42"/>
        <v/>
      </c>
      <c r="K959" s="10" t="str">
        <f t="shared" ca="1" si="43"/>
        <v/>
      </c>
      <c r="L959" s="7" t="str">
        <f t="shared" ca="1" si="44"/>
        <v/>
      </c>
    </row>
    <row r="960" spans="8:12" x14ac:dyDescent="0.25">
      <c r="H960" s="10" t="str">
        <f>IF(G960="","",VLOOKUP(G960,MEGHBELA!$A$2:$C$100,3,FALSE))</f>
        <v/>
      </c>
      <c r="I960" s="19"/>
      <c r="J960" s="22" t="str">
        <f t="shared" si="42"/>
        <v/>
      </c>
      <c r="K960" s="10" t="str">
        <f t="shared" ca="1" si="43"/>
        <v/>
      </c>
      <c r="L960" s="7" t="str">
        <f t="shared" ca="1" si="44"/>
        <v/>
      </c>
    </row>
    <row r="961" spans="8:12" x14ac:dyDescent="0.25">
      <c r="H961" s="10" t="str">
        <f>IF(G961="","",VLOOKUP(G961,MEGHBELA!$A$2:$C$100,3,FALSE))</f>
        <v/>
      </c>
      <c r="I961" s="18"/>
      <c r="J961" s="22" t="str">
        <f t="shared" si="42"/>
        <v/>
      </c>
      <c r="K961" s="10" t="str">
        <f t="shared" ca="1" si="43"/>
        <v/>
      </c>
      <c r="L961" s="7" t="str">
        <f t="shared" ca="1" si="44"/>
        <v/>
      </c>
    </row>
    <row r="962" spans="8:12" x14ac:dyDescent="0.25">
      <c r="H962" s="10" t="str">
        <f>IF(G962="","",VLOOKUP(G962,MEGHBELA!$A$2:$C$100,3,FALSE))</f>
        <v/>
      </c>
      <c r="I962" s="19"/>
      <c r="J962" s="22" t="str">
        <f t="shared" ref="J962:J1000" si="45">IF(OR(I962="",H962=""),"",I962+H962)</f>
        <v/>
      </c>
      <c r="K962" s="10" t="str">
        <f t="shared" ref="K962:K1000" ca="1" si="46">IF(J962="","",J962-TODAY())</f>
        <v/>
      </c>
      <c r="L962" s="7" t="str">
        <f t="shared" ref="L962:L1000" ca="1" si="47">IF(K962="","",
IF(K962&lt;0,
HYPERLINK("https://web.whatsapp.com/send?phone=91"&amp;F962&amp;"&amp;text=Dear%20Customer,%20your%20internet%20plan%20expired%20on%20"&amp;TEXT(J962,"dd-mm-yyyy")&amp;".%20Your%20service%20is%20now%20stopped.%20Please%20renew%20immediately%20to%20restore%20service.%0A-----TRUESPEED%20BROADBAND","Send Stop Message"),
IF(K962&lt;=3,
HYPERLINK("https://web.whatsapp.com/send?phone=91"&amp;F962&amp;"&amp;text=Dear%20Customer,%20your%20internet%20plan%20will%20expire%20in%20"&amp;K962&amp;"%20days.%20Please%20renew%20before%20"&amp;TEXT(J962,"dd-mm-yyyy")&amp;".%0A-----TRUESPEED%20BROADBAND","Send Renewal Alert"),
"")))</f>
        <v/>
      </c>
    </row>
    <row r="963" spans="8:12" x14ac:dyDescent="0.25">
      <c r="H963" s="10" t="str">
        <f>IF(G963="","",VLOOKUP(G963,MEGHBELA!$A$2:$C$100,3,FALSE))</f>
        <v/>
      </c>
      <c r="I963" s="18"/>
      <c r="J963" s="22" t="str">
        <f t="shared" si="45"/>
        <v/>
      </c>
      <c r="K963" s="10" t="str">
        <f t="shared" ca="1" si="46"/>
        <v/>
      </c>
      <c r="L963" s="7" t="str">
        <f t="shared" ca="1" si="47"/>
        <v/>
      </c>
    </row>
    <row r="964" spans="8:12" x14ac:dyDescent="0.25">
      <c r="H964" s="10" t="str">
        <f>IF(G964="","",VLOOKUP(G964,MEGHBELA!$A$2:$C$100,3,FALSE))</f>
        <v/>
      </c>
      <c r="I964" s="19"/>
      <c r="J964" s="22" t="str">
        <f t="shared" si="45"/>
        <v/>
      </c>
      <c r="K964" s="10" t="str">
        <f t="shared" ca="1" si="46"/>
        <v/>
      </c>
      <c r="L964" s="7" t="str">
        <f t="shared" ca="1" si="47"/>
        <v/>
      </c>
    </row>
    <row r="965" spans="8:12" x14ac:dyDescent="0.25">
      <c r="H965" s="10" t="str">
        <f>IF(G965="","",VLOOKUP(G965,MEGHBELA!$A$2:$C$100,3,FALSE))</f>
        <v/>
      </c>
      <c r="I965" s="18"/>
      <c r="J965" s="22" t="str">
        <f t="shared" si="45"/>
        <v/>
      </c>
      <c r="K965" s="10" t="str">
        <f t="shared" ca="1" si="46"/>
        <v/>
      </c>
      <c r="L965" s="7" t="str">
        <f t="shared" ca="1" si="47"/>
        <v/>
      </c>
    </row>
    <row r="966" spans="8:12" x14ac:dyDescent="0.25">
      <c r="H966" s="10" t="str">
        <f>IF(G966="","",VLOOKUP(G966,MEGHBELA!$A$2:$C$100,3,FALSE))</f>
        <v/>
      </c>
      <c r="I966" s="19"/>
      <c r="J966" s="22" t="str">
        <f t="shared" si="45"/>
        <v/>
      </c>
      <c r="K966" s="10" t="str">
        <f t="shared" ca="1" si="46"/>
        <v/>
      </c>
      <c r="L966" s="7" t="str">
        <f t="shared" ca="1" si="47"/>
        <v/>
      </c>
    </row>
    <row r="967" spans="8:12" x14ac:dyDescent="0.25">
      <c r="H967" s="10" t="str">
        <f>IF(G967="","",VLOOKUP(G967,MEGHBELA!$A$2:$C$100,3,FALSE))</f>
        <v/>
      </c>
      <c r="I967" s="18"/>
      <c r="J967" s="22" t="str">
        <f t="shared" si="45"/>
        <v/>
      </c>
      <c r="K967" s="10" t="str">
        <f t="shared" ca="1" si="46"/>
        <v/>
      </c>
      <c r="L967" s="7" t="str">
        <f t="shared" ca="1" si="47"/>
        <v/>
      </c>
    </row>
    <row r="968" spans="8:12" x14ac:dyDescent="0.25">
      <c r="H968" s="10" t="str">
        <f>IF(G968="","",VLOOKUP(G968,MEGHBELA!$A$2:$C$100,3,FALSE))</f>
        <v/>
      </c>
      <c r="I968" s="19"/>
      <c r="J968" s="22" t="str">
        <f t="shared" si="45"/>
        <v/>
      </c>
      <c r="K968" s="10" t="str">
        <f t="shared" ca="1" si="46"/>
        <v/>
      </c>
      <c r="L968" s="7" t="str">
        <f t="shared" ca="1" si="47"/>
        <v/>
      </c>
    </row>
    <row r="969" spans="8:12" x14ac:dyDescent="0.25">
      <c r="H969" s="10" t="str">
        <f>IF(G969="","",VLOOKUP(G969,MEGHBELA!$A$2:$C$100,3,FALSE))</f>
        <v/>
      </c>
      <c r="I969" s="18"/>
      <c r="J969" s="22" t="str">
        <f t="shared" si="45"/>
        <v/>
      </c>
      <c r="K969" s="10" t="str">
        <f t="shared" ca="1" si="46"/>
        <v/>
      </c>
      <c r="L969" s="7" t="str">
        <f t="shared" ca="1" si="47"/>
        <v/>
      </c>
    </row>
    <row r="970" spans="8:12" x14ac:dyDescent="0.25">
      <c r="H970" s="10" t="str">
        <f>IF(G970="","",VLOOKUP(G970,MEGHBELA!$A$2:$C$100,3,FALSE))</f>
        <v/>
      </c>
      <c r="I970" s="19"/>
      <c r="J970" s="22" t="str">
        <f t="shared" si="45"/>
        <v/>
      </c>
      <c r="K970" s="10" t="str">
        <f t="shared" ca="1" si="46"/>
        <v/>
      </c>
      <c r="L970" s="7" t="str">
        <f t="shared" ca="1" si="47"/>
        <v/>
      </c>
    </row>
    <row r="971" spans="8:12" x14ac:dyDescent="0.25">
      <c r="H971" s="10" t="str">
        <f>IF(G971="","",VLOOKUP(G971,MEGHBELA!$A$2:$C$100,3,FALSE))</f>
        <v/>
      </c>
      <c r="I971" s="18"/>
      <c r="J971" s="22" t="str">
        <f t="shared" si="45"/>
        <v/>
      </c>
      <c r="K971" s="10" t="str">
        <f t="shared" ca="1" si="46"/>
        <v/>
      </c>
      <c r="L971" s="7" t="str">
        <f t="shared" ca="1" si="47"/>
        <v/>
      </c>
    </row>
    <row r="972" spans="8:12" x14ac:dyDescent="0.25">
      <c r="H972" s="10" t="str">
        <f>IF(G972="","",VLOOKUP(G972,MEGHBELA!$A$2:$C$100,3,FALSE))</f>
        <v/>
      </c>
      <c r="I972" s="19"/>
      <c r="J972" s="22" t="str">
        <f t="shared" si="45"/>
        <v/>
      </c>
      <c r="K972" s="10" t="str">
        <f t="shared" ca="1" si="46"/>
        <v/>
      </c>
      <c r="L972" s="7" t="str">
        <f t="shared" ca="1" si="47"/>
        <v/>
      </c>
    </row>
    <row r="973" spans="8:12" x14ac:dyDescent="0.25">
      <c r="H973" s="10" t="str">
        <f>IF(G973="","",VLOOKUP(G973,MEGHBELA!$A$2:$C$100,3,FALSE))</f>
        <v/>
      </c>
      <c r="I973" s="18"/>
      <c r="J973" s="22" t="str">
        <f t="shared" si="45"/>
        <v/>
      </c>
      <c r="K973" s="10" t="str">
        <f t="shared" ca="1" si="46"/>
        <v/>
      </c>
      <c r="L973" s="7" t="str">
        <f t="shared" ca="1" si="47"/>
        <v/>
      </c>
    </row>
    <row r="974" spans="8:12" x14ac:dyDescent="0.25">
      <c r="H974" s="10" t="str">
        <f>IF(G974="","",VLOOKUP(G974,MEGHBELA!$A$2:$C$100,3,FALSE))</f>
        <v/>
      </c>
      <c r="I974" s="19"/>
      <c r="J974" s="22" t="str">
        <f t="shared" si="45"/>
        <v/>
      </c>
      <c r="K974" s="10" t="str">
        <f t="shared" ca="1" si="46"/>
        <v/>
      </c>
      <c r="L974" s="7" t="str">
        <f t="shared" ca="1" si="47"/>
        <v/>
      </c>
    </row>
    <row r="975" spans="8:12" x14ac:dyDescent="0.25">
      <c r="H975" s="10" t="str">
        <f>IF(G975="","",VLOOKUP(G975,MEGHBELA!$A$2:$C$100,3,FALSE))</f>
        <v/>
      </c>
      <c r="I975" s="18"/>
      <c r="J975" s="22" t="str">
        <f t="shared" si="45"/>
        <v/>
      </c>
      <c r="K975" s="10" t="str">
        <f t="shared" ca="1" si="46"/>
        <v/>
      </c>
      <c r="L975" s="7" t="str">
        <f t="shared" ca="1" si="47"/>
        <v/>
      </c>
    </row>
    <row r="976" spans="8:12" x14ac:dyDescent="0.25">
      <c r="H976" s="10" t="str">
        <f>IF(G976="","",VLOOKUP(G976,MEGHBELA!$A$2:$C$100,3,FALSE))</f>
        <v/>
      </c>
      <c r="I976" s="19"/>
      <c r="J976" s="22" t="str">
        <f t="shared" si="45"/>
        <v/>
      </c>
      <c r="K976" s="10" t="str">
        <f t="shared" ca="1" si="46"/>
        <v/>
      </c>
      <c r="L976" s="7" t="str">
        <f t="shared" ca="1" si="47"/>
        <v/>
      </c>
    </row>
    <row r="977" spans="8:12" x14ac:dyDescent="0.25">
      <c r="H977" s="10" t="str">
        <f>IF(G977="","",VLOOKUP(G977,MEGHBELA!$A$2:$C$100,3,FALSE))</f>
        <v/>
      </c>
      <c r="I977" s="18"/>
      <c r="J977" s="22" t="str">
        <f t="shared" si="45"/>
        <v/>
      </c>
      <c r="K977" s="10" t="str">
        <f t="shared" ca="1" si="46"/>
        <v/>
      </c>
      <c r="L977" s="7" t="str">
        <f t="shared" ca="1" si="47"/>
        <v/>
      </c>
    </row>
    <row r="978" spans="8:12" x14ac:dyDescent="0.25">
      <c r="H978" s="10" t="str">
        <f>IF(G978="","",VLOOKUP(G978,MEGHBELA!$A$2:$C$100,3,FALSE))</f>
        <v/>
      </c>
      <c r="I978" s="19"/>
      <c r="J978" s="22" t="str">
        <f t="shared" si="45"/>
        <v/>
      </c>
      <c r="K978" s="10" t="str">
        <f t="shared" ca="1" si="46"/>
        <v/>
      </c>
      <c r="L978" s="7" t="str">
        <f t="shared" ca="1" si="47"/>
        <v/>
      </c>
    </row>
    <row r="979" spans="8:12" x14ac:dyDescent="0.25">
      <c r="H979" s="10" t="str">
        <f>IF(G979="","",VLOOKUP(G979,MEGHBELA!$A$2:$C$100,3,FALSE))</f>
        <v/>
      </c>
      <c r="I979" s="18"/>
      <c r="J979" s="22" t="str">
        <f t="shared" si="45"/>
        <v/>
      </c>
      <c r="K979" s="10" t="str">
        <f t="shared" ca="1" si="46"/>
        <v/>
      </c>
      <c r="L979" s="7" t="str">
        <f t="shared" ca="1" si="47"/>
        <v/>
      </c>
    </row>
    <row r="980" spans="8:12" x14ac:dyDescent="0.25">
      <c r="H980" s="10" t="str">
        <f>IF(G980="","",VLOOKUP(G980,MEGHBELA!$A$2:$C$100,3,FALSE))</f>
        <v/>
      </c>
      <c r="I980" s="19"/>
      <c r="J980" s="22" t="str">
        <f t="shared" si="45"/>
        <v/>
      </c>
      <c r="K980" s="10" t="str">
        <f t="shared" ca="1" si="46"/>
        <v/>
      </c>
      <c r="L980" s="7" t="str">
        <f t="shared" ca="1" si="47"/>
        <v/>
      </c>
    </row>
    <row r="981" spans="8:12" x14ac:dyDescent="0.25">
      <c r="H981" s="10" t="str">
        <f>IF(G981="","",VLOOKUP(G981,MEGHBELA!$A$2:$C$100,3,FALSE))</f>
        <v/>
      </c>
      <c r="I981" s="18"/>
      <c r="J981" s="22" t="str">
        <f t="shared" si="45"/>
        <v/>
      </c>
      <c r="K981" s="10" t="str">
        <f t="shared" ca="1" si="46"/>
        <v/>
      </c>
      <c r="L981" s="7" t="str">
        <f t="shared" ca="1" si="47"/>
        <v/>
      </c>
    </row>
    <row r="982" spans="8:12" x14ac:dyDescent="0.25">
      <c r="H982" s="10" t="str">
        <f>IF(G982="","",VLOOKUP(G982,MEGHBELA!$A$2:$C$100,3,FALSE))</f>
        <v/>
      </c>
      <c r="I982" s="19"/>
      <c r="J982" s="22" t="str">
        <f t="shared" si="45"/>
        <v/>
      </c>
      <c r="K982" s="10" t="str">
        <f t="shared" ca="1" si="46"/>
        <v/>
      </c>
      <c r="L982" s="7" t="str">
        <f t="shared" ca="1" si="47"/>
        <v/>
      </c>
    </row>
    <row r="983" spans="8:12" x14ac:dyDescent="0.25">
      <c r="H983" s="10" t="str">
        <f>IF(G983="","",VLOOKUP(G983,MEGHBELA!$A$2:$C$100,3,FALSE))</f>
        <v/>
      </c>
      <c r="I983" s="18"/>
      <c r="J983" s="22" t="str">
        <f t="shared" si="45"/>
        <v/>
      </c>
      <c r="K983" s="10" t="str">
        <f t="shared" ca="1" si="46"/>
        <v/>
      </c>
      <c r="L983" s="7" t="str">
        <f t="shared" ca="1" si="47"/>
        <v/>
      </c>
    </row>
    <row r="984" spans="8:12" x14ac:dyDescent="0.25">
      <c r="H984" s="10" t="str">
        <f>IF(G984="","",VLOOKUP(G984,MEGHBELA!$A$2:$C$100,3,FALSE))</f>
        <v/>
      </c>
      <c r="I984" s="19"/>
      <c r="J984" s="22" t="str">
        <f t="shared" si="45"/>
        <v/>
      </c>
      <c r="K984" s="10" t="str">
        <f t="shared" ca="1" si="46"/>
        <v/>
      </c>
      <c r="L984" s="7" t="str">
        <f t="shared" ca="1" si="47"/>
        <v/>
      </c>
    </row>
    <row r="985" spans="8:12" x14ac:dyDescent="0.25">
      <c r="H985" s="10" t="str">
        <f>IF(G985="","",VLOOKUP(G985,MEGHBELA!$A$2:$C$100,3,FALSE))</f>
        <v/>
      </c>
      <c r="I985" s="18"/>
      <c r="J985" s="22" t="str">
        <f t="shared" si="45"/>
        <v/>
      </c>
      <c r="K985" s="10" t="str">
        <f t="shared" ca="1" si="46"/>
        <v/>
      </c>
      <c r="L985" s="7" t="str">
        <f t="shared" ca="1" si="47"/>
        <v/>
      </c>
    </row>
    <row r="986" spans="8:12" x14ac:dyDescent="0.25">
      <c r="H986" s="10" t="str">
        <f>IF(G986="","",VLOOKUP(G986,MEGHBELA!$A$2:$C$100,3,FALSE))</f>
        <v/>
      </c>
      <c r="I986" s="19"/>
      <c r="J986" s="22" t="str">
        <f t="shared" si="45"/>
        <v/>
      </c>
      <c r="K986" s="10" t="str">
        <f t="shared" ca="1" si="46"/>
        <v/>
      </c>
      <c r="L986" s="7" t="str">
        <f t="shared" ca="1" si="47"/>
        <v/>
      </c>
    </row>
    <row r="987" spans="8:12" x14ac:dyDescent="0.25">
      <c r="H987" s="10" t="str">
        <f>IF(G987="","",VLOOKUP(G987,MEGHBELA!$A$2:$C$100,3,FALSE))</f>
        <v/>
      </c>
      <c r="I987" s="18"/>
      <c r="J987" s="22" t="str">
        <f t="shared" si="45"/>
        <v/>
      </c>
      <c r="K987" s="10" t="str">
        <f t="shared" ca="1" si="46"/>
        <v/>
      </c>
      <c r="L987" s="7" t="str">
        <f t="shared" ca="1" si="47"/>
        <v/>
      </c>
    </row>
    <row r="988" spans="8:12" x14ac:dyDescent="0.25">
      <c r="H988" s="10" t="str">
        <f>IF(G988="","",VLOOKUP(G988,MEGHBELA!$A$2:$C$100,3,FALSE))</f>
        <v/>
      </c>
      <c r="I988" s="19"/>
      <c r="J988" s="22" t="str">
        <f t="shared" si="45"/>
        <v/>
      </c>
      <c r="K988" s="10" t="str">
        <f t="shared" ca="1" si="46"/>
        <v/>
      </c>
      <c r="L988" s="7" t="str">
        <f t="shared" ca="1" si="47"/>
        <v/>
      </c>
    </row>
    <row r="989" spans="8:12" x14ac:dyDescent="0.25">
      <c r="H989" s="10" t="str">
        <f>IF(G989="","",VLOOKUP(G989,MEGHBELA!$A$2:$C$100,3,FALSE))</f>
        <v/>
      </c>
      <c r="I989" s="18"/>
      <c r="J989" s="22" t="str">
        <f t="shared" si="45"/>
        <v/>
      </c>
      <c r="K989" s="10" t="str">
        <f t="shared" ca="1" si="46"/>
        <v/>
      </c>
      <c r="L989" s="7" t="str">
        <f t="shared" ca="1" si="47"/>
        <v/>
      </c>
    </row>
    <row r="990" spans="8:12" x14ac:dyDescent="0.25">
      <c r="H990" s="10" t="str">
        <f>IF(G990="","",VLOOKUP(G990,MEGHBELA!$A$2:$C$100,3,FALSE))</f>
        <v/>
      </c>
      <c r="I990" s="19"/>
      <c r="J990" s="22" t="str">
        <f t="shared" si="45"/>
        <v/>
      </c>
      <c r="K990" s="10" t="str">
        <f t="shared" ca="1" si="46"/>
        <v/>
      </c>
      <c r="L990" s="7" t="str">
        <f t="shared" ca="1" si="47"/>
        <v/>
      </c>
    </row>
    <row r="991" spans="8:12" x14ac:dyDescent="0.25">
      <c r="H991" s="10" t="str">
        <f>IF(G991="","",VLOOKUP(G991,MEGHBELA!$A$2:$C$100,3,FALSE))</f>
        <v/>
      </c>
      <c r="I991" s="18"/>
      <c r="J991" s="22" t="str">
        <f t="shared" si="45"/>
        <v/>
      </c>
      <c r="K991" s="10" t="str">
        <f t="shared" ca="1" si="46"/>
        <v/>
      </c>
      <c r="L991" s="7" t="str">
        <f t="shared" ca="1" si="47"/>
        <v/>
      </c>
    </row>
    <row r="992" spans="8:12" x14ac:dyDescent="0.25">
      <c r="H992" s="10" t="str">
        <f>IF(G992="","",VLOOKUP(G992,MEGHBELA!$A$2:$C$100,3,FALSE))</f>
        <v/>
      </c>
      <c r="I992" s="19"/>
      <c r="J992" s="22" t="str">
        <f t="shared" si="45"/>
        <v/>
      </c>
      <c r="K992" s="10" t="str">
        <f t="shared" ca="1" si="46"/>
        <v/>
      </c>
      <c r="L992" s="7" t="str">
        <f t="shared" ca="1" si="47"/>
        <v/>
      </c>
    </row>
    <row r="993" spans="8:12" x14ac:dyDescent="0.25">
      <c r="H993" s="10" t="str">
        <f>IF(G993="","",VLOOKUP(G993,MEGHBELA!$A$2:$C$100,3,FALSE))</f>
        <v/>
      </c>
      <c r="I993" s="18"/>
      <c r="J993" s="22" t="str">
        <f t="shared" si="45"/>
        <v/>
      </c>
      <c r="K993" s="10" t="str">
        <f t="shared" ca="1" si="46"/>
        <v/>
      </c>
      <c r="L993" s="7" t="str">
        <f t="shared" ca="1" si="47"/>
        <v/>
      </c>
    </row>
    <row r="994" spans="8:12" x14ac:dyDescent="0.25">
      <c r="H994" s="10" t="str">
        <f>IF(G994="","",VLOOKUP(G994,MEGHBELA!$A$2:$C$100,3,FALSE))</f>
        <v/>
      </c>
      <c r="I994" s="19"/>
      <c r="J994" s="22" t="str">
        <f t="shared" si="45"/>
        <v/>
      </c>
      <c r="K994" s="10" t="str">
        <f t="shared" ca="1" si="46"/>
        <v/>
      </c>
      <c r="L994" s="7" t="str">
        <f t="shared" ca="1" si="47"/>
        <v/>
      </c>
    </row>
    <row r="995" spans="8:12" x14ac:dyDescent="0.25">
      <c r="H995" s="10" t="str">
        <f>IF(G995="","",VLOOKUP(G995,MEGHBELA!$A$2:$C$100,3,FALSE))</f>
        <v/>
      </c>
      <c r="I995" s="18"/>
      <c r="J995" s="22" t="str">
        <f t="shared" si="45"/>
        <v/>
      </c>
      <c r="K995" s="10" t="str">
        <f t="shared" ca="1" si="46"/>
        <v/>
      </c>
      <c r="L995" s="7" t="str">
        <f t="shared" ca="1" si="47"/>
        <v/>
      </c>
    </row>
    <row r="996" spans="8:12" x14ac:dyDescent="0.25">
      <c r="H996" s="10" t="str">
        <f>IF(G996="","",VLOOKUP(G996,MEGHBELA!$A$2:$C$100,3,FALSE))</f>
        <v/>
      </c>
      <c r="I996" s="19"/>
      <c r="J996" s="22" t="str">
        <f t="shared" si="45"/>
        <v/>
      </c>
      <c r="K996" s="10" t="str">
        <f t="shared" ca="1" si="46"/>
        <v/>
      </c>
      <c r="L996" s="7" t="str">
        <f t="shared" ca="1" si="47"/>
        <v/>
      </c>
    </row>
    <row r="997" spans="8:12" x14ac:dyDescent="0.25">
      <c r="H997" s="10" t="str">
        <f>IF(G997="","",VLOOKUP(G997,MEGHBELA!$A$2:$C$100,3,FALSE))</f>
        <v/>
      </c>
      <c r="I997" s="18"/>
      <c r="J997" s="22" t="str">
        <f t="shared" si="45"/>
        <v/>
      </c>
      <c r="K997" s="10" t="str">
        <f t="shared" ca="1" si="46"/>
        <v/>
      </c>
      <c r="L997" s="7" t="str">
        <f t="shared" ca="1" si="47"/>
        <v/>
      </c>
    </row>
    <row r="998" spans="8:12" x14ac:dyDescent="0.25">
      <c r="H998" s="10" t="str">
        <f>IF(G998="","",VLOOKUP(G998,MEGHBELA!$A$2:$C$100,3,FALSE))</f>
        <v/>
      </c>
      <c r="I998" s="19"/>
      <c r="J998" s="22" t="str">
        <f t="shared" si="45"/>
        <v/>
      </c>
      <c r="K998" s="10" t="str">
        <f t="shared" ca="1" si="46"/>
        <v/>
      </c>
      <c r="L998" s="7" t="str">
        <f t="shared" ca="1" si="47"/>
        <v/>
      </c>
    </row>
    <row r="999" spans="8:12" x14ac:dyDescent="0.25">
      <c r="H999" s="10" t="str">
        <f>IF(G999="","",VLOOKUP(G999,MEGHBELA!$A$2:$C$100,3,FALSE))</f>
        <v/>
      </c>
      <c r="I999" s="18"/>
      <c r="J999" s="22" t="str">
        <f t="shared" si="45"/>
        <v/>
      </c>
      <c r="K999" s="10" t="str">
        <f t="shared" ca="1" si="46"/>
        <v/>
      </c>
      <c r="L999" s="7" t="str">
        <f t="shared" ca="1" si="47"/>
        <v/>
      </c>
    </row>
    <row r="1000" spans="8:12" x14ac:dyDescent="0.25">
      <c r="H1000" s="10" t="str">
        <f>IF(G1000="","",VLOOKUP(G1000,MEGHBELA!$A$2:$C$100,3,FALSE))</f>
        <v/>
      </c>
      <c r="I1000" s="19"/>
      <c r="J1000" s="22" t="str">
        <f t="shared" si="45"/>
        <v/>
      </c>
      <c r="K1000" s="10" t="str">
        <f t="shared" ca="1" si="46"/>
        <v/>
      </c>
      <c r="L1000" s="7" t="str">
        <f t="shared" ca="1" si="47"/>
        <v/>
      </c>
    </row>
  </sheetData>
  <conditionalFormatting sqref="K1:K1000">
    <cfRule type="cellIs" dxfId="3" priority="1" operator="lessThan">
      <formula>3</formula>
    </cfRule>
  </conditionalFormatting>
  <dataValidations count="1">
    <dataValidation type="list" allowBlank="1" showInputMessage="1" showErrorMessage="1" sqref="G1:G1048576" xr:uid="{E77C0BC8-4BDB-4194-B208-BF3B7DD005E6}">
      <formula1>PlanDropdown</formula1>
    </dataValidation>
  </dataValidations>
  <pageMargins left="0.7" right="0.7" top="0.75" bottom="0.75" header="0.3" footer="0.3"/>
  <pageSetup orientation="portrait" verticalDpi="0" r:id="rId1"/>
  <drawing r:id="rId2"/>
  <tableParts count="5"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H2" sqref="H2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H2" sqref="H2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7F1AF-514C-468F-AA7F-7352C230C597}">
  <dimension ref="A1:H5"/>
  <sheetViews>
    <sheetView zoomScale="180" zoomScaleNormal="180" workbookViewId="0">
      <selection activeCell="C1" sqref="C1"/>
    </sheetView>
  </sheetViews>
  <sheetFormatPr defaultRowHeight="15" x14ac:dyDescent="0.25"/>
  <cols>
    <col min="1" max="1" width="16.5703125" customWidth="1"/>
    <col min="2" max="2" width="14.42578125" customWidth="1"/>
    <col min="3" max="3" width="18.5703125" customWidth="1"/>
    <col min="4" max="4" width="18.7109375" customWidth="1"/>
    <col min="5" max="5" width="17.28515625" customWidth="1"/>
    <col min="6" max="6" width="16.7109375" customWidth="1"/>
    <col min="7" max="7" width="18.7109375" customWidth="1"/>
    <col min="8" max="8" width="17.140625" customWidth="1"/>
  </cols>
  <sheetData>
    <row r="1" spans="1:8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</row>
    <row r="2" spans="1:8" x14ac:dyDescent="0.25">
      <c r="A2" s="1" t="s">
        <v>22</v>
      </c>
      <c r="B2" s="1">
        <v>899</v>
      </c>
      <c r="C2" s="1">
        <v>90</v>
      </c>
      <c r="D2" s="1">
        <v>2</v>
      </c>
      <c r="E2" s="1">
        <f>C2*D2</f>
        <v>180</v>
      </c>
      <c r="F2" s="1" t="s">
        <v>23</v>
      </c>
      <c r="G2" s="1">
        <v>100</v>
      </c>
      <c r="H2" s="1">
        <f>B2/C2</f>
        <v>9.9888888888888889</v>
      </c>
    </row>
    <row r="3" spans="1:8" x14ac:dyDescent="0.25">
      <c r="A3" s="1" t="s">
        <v>24</v>
      </c>
      <c r="B3" s="1">
        <v>999</v>
      </c>
      <c r="C3" s="1">
        <v>98</v>
      </c>
      <c r="D3" s="1">
        <v>2</v>
      </c>
      <c r="E3" s="1">
        <f>C3*D3</f>
        <v>196</v>
      </c>
      <c r="F3" s="1" t="s">
        <v>23</v>
      </c>
      <c r="G3" s="1">
        <v>100</v>
      </c>
      <c r="H3" s="1">
        <f>B3/C3</f>
        <v>10.193877551020408</v>
      </c>
    </row>
    <row r="4" spans="1:8" x14ac:dyDescent="0.25">
      <c r="A4" s="1" t="s">
        <v>25</v>
      </c>
      <c r="B4" s="1">
        <v>299</v>
      </c>
      <c r="C4" s="1">
        <v>28</v>
      </c>
      <c r="D4" s="1">
        <v>5</v>
      </c>
      <c r="E4" s="1">
        <f>C4*D4</f>
        <v>140</v>
      </c>
      <c r="F4" s="1" t="s">
        <v>23</v>
      </c>
      <c r="G4" s="1">
        <v>100</v>
      </c>
      <c r="H4" s="1">
        <f>B4/C4</f>
        <v>10.678571428571429</v>
      </c>
    </row>
    <row r="5" spans="1:8" x14ac:dyDescent="0.25">
      <c r="A5" s="1" t="s">
        <v>26</v>
      </c>
      <c r="B5" s="1">
        <v>239</v>
      </c>
      <c r="C5" s="1">
        <v>24</v>
      </c>
      <c r="D5" s="1">
        <v>10</v>
      </c>
      <c r="E5" s="1">
        <f>C5*D5</f>
        <v>240</v>
      </c>
      <c r="F5" s="1" t="s">
        <v>23</v>
      </c>
      <c r="G5" s="1">
        <v>100</v>
      </c>
      <c r="H5" s="1">
        <f>B5/C5</f>
        <v>9.9583333333333339</v>
      </c>
    </row>
  </sheetData>
  <pageMargins left="0.7" right="0.7" top="0.75" bottom="0.75" header="0.3" footer="0.3"/>
  <pageSetup fitToWidth="0" fitToHeight="0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Customer Infirmation</vt:lpstr>
      <vt:lpstr>OLT or Switch MGMT Details</vt:lpstr>
      <vt:lpstr>Expenses</vt:lpstr>
      <vt:lpstr>MEGHBELA</vt:lpstr>
      <vt:lpstr>PlanDropdown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SERVICES;BN</dc:creator>
  <cp:lastModifiedBy>BN11</cp:lastModifiedBy>
  <dcterms:created xsi:type="dcterms:W3CDTF">2025-10-08T16:11:04Z</dcterms:created>
  <dcterms:modified xsi:type="dcterms:W3CDTF">2026-03-08T10:10:12Z</dcterms:modified>
</cp:coreProperties>
</file>